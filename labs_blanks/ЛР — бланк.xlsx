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F786F804-896B-4234-B0F0-87F5DD908378}" xr6:coauthVersionLast="47" xr6:coauthVersionMax="47" xr10:uidLastSave="{00000000-0000-0000-0000-000000000000}"/>
  <bookViews>
    <workbookView xWindow="-120" yWindow="-120" windowWidth="38640" windowHeight="21120" tabRatio="631" xr2:uid="{00000000-000D-0000-FFFF-FFFF00000000}"/>
  </bookViews>
  <sheets>
    <sheet name="Задание" sheetId="16" r:id="rId1"/>
    <sheet name="ЛР 1" sheetId="3" r:id="rId2"/>
    <sheet name="ЛР 2" sheetId="20" r:id="rId3"/>
    <sheet name="ЛР 7" sheetId="11" r:id="rId4"/>
    <sheet name="ЛР 8" sheetId="5" r:id="rId5"/>
    <sheet name="ЛР 9" sheetId="6" r:id="rId6"/>
    <sheet name="ЛР 10" sheetId="7" r:id="rId7"/>
    <sheet name="ЛР 11-12" sheetId="8" r:id="rId8"/>
    <sheet name="ЛР 13" sheetId="9" r:id="rId9"/>
    <sheet name="ЛР 14" sheetId="18" r:id="rId10"/>
    <sheet name="ЛР 15" sheetId="17" r:id="rId11"/>
    <sheet name="ЛР 16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3" l="1"/>
  <c r="E12" i="3"/>
  <c r="B12" i="3"/>
</calcChain>
</file>

<file path=xl/sharedStrings.xml><?xml version="1.0" encoding="utf-8"?>
<sst xmlns="http://schemas.openxmlformats.org/spreadsheetml/2006/main" count="3317" uniqueCount="451">
  <si>
    <t>A</t>
  </si>
  <si>
    <t>B</t>
  </si>
  <si>
    <t>C</t>
  </si>
  <si>
    <t>a</t>
  </si>
  <si>
    <t>b</t>
  </si>
  <si>
    <t>c</t>
  </si>
  <si>
    <t>S</t>
  </si>
  <si>
    <t>по сторонам и углу между ними</t>
  </si>
  <si>
    <t>tg(B+C)/2</t>
  </si>
  <si>
    <t>tg(B-C)/2</t>
  </si>
  <si>
    <t>cos (a)</t>
  </si>
  <si>
    <t>(B+C)/2</t>
  </si>
  <si>
    <t>(B-C)/2</t>
  </si>
  <si>
    <t>по углам и стороне между</t>
  </si>
  <si>
    <t>tg(b+c)/2</t>
  </si>
  <si>
    <t>tg(b-c)/2</t>
  </si>
  <si>
    <t>(b+c)/2</t>
  </si>
  <si>
    <t>(b-c)/2</t>
  </si>
  <si>
    <t>cos (A)</t>
  </si>
  <si>
    <t>град</t>
  </si>
  <si>
    <t>мин</t>
  </si>
  <si>
    <t>рад</t>
  </si>
  <si>
    <t>Треугольник 1</t>
  </si>
  <si>
    <t>Треугольник 2</t>
  </si>
  <si>
    <t>Треугольник 3</t>
  </si>
  <si>
    <t>Треугольник 4</t>
  </si>
  <si>
    <t>Треугольник 5</t>
  </si>
  <si>
    <t>Прямоугольный треугольник</t>
  </si>
  <si>
    <t>А</t>
  </si>
  <si>
    <t>В</t>
  </si>
  <si>
    <t>Градусная</t>
  </si>
  <si>
    <t>ч</t>
  </si>
  <si>
    <t>Временная</t>
  </si>
  <si>
    <t>Радианная</t>
  </si>
  <si>
    <t>sin(A)</t>
  </si>
  <si>
    <t>cos(B)</t>
  </si>
  <si>
    <t>ctg(D)</t>
  </si>
  <si>
    <t>cosec(F)</t>
  </si>
  <si>
    <t>Функция</t>
  </si>
  <si>
    <t>ПАП</t>
  </si>
  <si>
    <t>уг. мин.</t>
  </si>
  <si>
    <t>№</t>
  </si>
  <si>
    <t>Группы значений</t>
  </si>
  <si>
    <t>Границы группы</t>
  </si>
  <si>
    <t>Среднее в группе</t>
  </si>
  <si>
    <t>Количество измерений в группе</t>
  </si>
  <si>
    <t>Статистическая частота</t>
  </si>
  <si>
    <t>Накопленная частота</t>
  </si>
  <si>
    <t>-</t>
  </si>
  <si>
    <t>°</t>
  </si>
  <si>
    <t>¢</t>
  </si>
  <si>
    <t>x̅</t>
  </si>
  <si>
    <t>Vi</t>
  </si>
  <si>
    <t>Vi*Pi</t>
  </si>
  <si>
    <t>f(z)</t>
  </si>
  <si>
    <t>m</t>
  </si>
  <si>
    <t>mx̅</t>
  </si>
  <si>
    <t>z</t>
  </si>
  <si>
    <t>Р</t>
  </si>
  <si>
    <t>V</t>
  </si>
  <si>
    <t>D</t>
  </si>
  <si>
    <t>E</t>
  </si>
  <si>
    <t>F</t>
  </si>
  <si>
    <t>j</t>
  </si>
  <si>
    <t>l</t>
  </si>
  <si>
    <t>y</t>
  </si>
  <si>
    <t>%</t>
  </si>
  <si>
    <t>Sорт</t>
  </si>
  <si>
    <t>м.м.</t>
  </si>
  <si>
    <t>ПУ н</t>
  </si>
  <si>
    <t>ПУ к</t>
  </si>
  <si>
    <t>Dl</t>
  </si>
  <si>
    <t>lo</t>
  </si>
  <si>
    <t>сек</t>
  </si>
  <si>
    <t>sec (Е)</t>
  </si>
  <si>
    <t>tg(С)</t>
  </si>
  <si>
    <r>
      <t>sin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/2)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</si>
  <si>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</rPr>
      <t>i * Pi</t>
    </r>
  </si>
  <si>
    <r>
      <t>tg (</t>
    </r>
    <r>
      <rPr>
        <b/>
        <sz val="11"/>
        <color theme="1"/>
        <rFont val="Symbol"/>
        <family val="1"/>
        <charset val="2"/>
      </rPr>
      <t>y</t>
    </r>
    <r>
      <rPr>
        <b/>
        <sz val="11"/>
        <color theme="1"/>
        <rFont val="Calibri"/>
        <family val="2"/>
      </rPr>
      <t>)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</si>
  <si>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</rPr>
      <t>S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</si>
  <si>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</rPr>
      <t>S%</t>
    </r>
  </si>
  <si>
    <r>
      <t>l</t>
    </r>
    <r>
      <rPr>
        <b/>
        <sz val="11"/>
        <color theme="1"/>
        <rFont val="Calibri"/>
        <family val="2"/>
        <charset val="204"/>
        <scheme val="minor"/>
      </rPr>
      <t>v</t>
    </r>
  </si>
  <si>
    <r>
      <t>j</t>
    </r>
    <r>
      <rPr>
        <b/>
        <sz val="11"/>
        <color theme="1"/>
        <rFont val="Calibri"/>
        <family val="2"/>
        <charset val="204"/>
        <scheme val="minor"/>
      </rPr>
      <t>v</t>
    </r>
  </si>
  <si>
    <t>Судно</t>
  </si>
  <si>
    <t>Ориентир 1</t>
  </si>
  <si>
    <t>Ориентир 2</t>
  </si>
  <si>
    <t>Объекты</t>
  </si>
  <si>
    <t>Координаты объектов</t>
  </si>
  <si>
    <t>НП</t>
  </si>
  <si>
    <t>СКП НП 
m</t>
  </si>
  <si>
    <t>nm</t>
  </si>
  <si>
    <t>ЛП 1</t>
  </si>
  <si>
    <t>ЛП 2</t>
  </si>
  <si>
    <t>Dj</t>
  </si>
  <si>
    <t>jo</t>
  </si>
  <si>
    <r>
      <t>D</t>
    </r>
    <r>
      <rPr>
        <sz val="11"/>
        <color theme="1"/>
        <rFont val="Calibri"/>
        <family val="2"/>
        <charset val="204"/>
        <scheme val="minor"/>
      </rPr>
      <t>w</t>
    </r>
  </si>
  <si>
    <r>
      <rPr>
        <sz val="11"/>
        <color theme="1"/>
        <rFont val="Symbol"/>
        <family val="1"/>
        <charset val="2"/>
      </rPr>
      <t xml:space="preserve">j </t>
    </r>
    <r>
      <rPr>
        <sz val="11"/>
        <color theme="1"/>
        <rFont val="Calibri"/>
        <family val="2"/>
        <scheme val="minor"/>
      </rPr>
      <t>ср</t>
    </r>
  </si>
  <si>
    <t>D1</t>
  </si>
  <si>
    <t>D2</t>
  </si>
  <si>
    <t>Ориентир</t>
  </si>
  <si>
    <t>Di</t>
  </si>
  <si>
    <t>ИП i</t>
  </si>
  <si>
    <t>gi</t>
  </si>
  <si>
    <t>t</t>
  </si>
  <si>
    <t>n</t>
  </si>
  <si>
    <r>
      <t>D</t>
    </r>
    <r>
      <rPr>
        <b/>
        <sz val="11"/>
        <color theme="1"/>
        <rFont val="Calibri"/>
        <family val="2"/>
        <charset val="204"/>
        <scheme val="minor"/>
      </rPr>
      <t>w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</si>
  <si>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</rPr>
      <t>D</t>
    </r>
  </si>
  <si>
    <t>Ориентир 3</t>
  </si>
  <si>
    <t>Ориентир 4</t>
  </si>
  <si>
    <t>B1</t>
  </si>
  <si>
    <t>B2</t>
  </si>
  <si>
    <t>B3</t>
  </si>
  <si>
    <t>B4</t>
  </si>
  <si>
    <t>ЛП 3</t>
  </si>
  <si>
    <t>ЛП 4</t>
  </si>
  <si>
    <r>
      <t xml:space="preserve">S </t>
    </r>
    <r>
      <rPr>
        <sz val="11"/>
        <color theme="1"/>
        <rFont val="Calibri"/>
        <family val="2"/>
        <charset val="204"/>
        <scheme val="minor"/>
      </rPr>
      <t>Pлп</t>
    </r>
  </si>
  <si>
    <t>sin</t>
  </si>
  <si>
    <t>cos</t>
  </si>
  <si>
    <t>Psin2</t>
  </si>
  <si>
    <t>Pcos2</t>
  </si>
  <si>
    <t>Psincos</t>
  </si>
  <si>
    <t>Pnsin</t>
  </si>
  <si>
    <t>Pncos</t>
  </si>
  <si>
    <t>A1</t>
  </si>
  <si>
    <t>B1=A2</t>
  </si>
  <si>
    <t>L2</t>
  </si>
  <si>
    <t>L1</t>
  </si>
  <si>
    <t>B2+A1</t>
  </si>
  <si>
    <t>=</t>
  </si>
  <si>
    <t>Пара ЛП</t>
  </si>
  <si>
    <t>1--2</t>
  </si>
  <si>
    <t>1--3</t>
  </si>
  <si>
    <t>1--4</t>
  </si>
  <si>
    <t>2--3</t>
  </si>
  <si>
    <t>2--4</t>
  </si>
  <si>
    <t>3--4</t>
  </si>
  <si>
    <r>
      <t>Dj</t>
    </r>
    <r>
      <rPr>
        <sz val="11"/>
        <color theme="1"/>
        <rFont val="Calibri"/>
        <family val="2"/>
        <charset val="204"/>
        <scheme val="minor"/>
      </rPr>
      <t>ij</t>
    </r>
  </si>
  <si>
    <r>
      <t>D</t>
    </r>
    <r>
      <rPr>
        <sz val="11"/>
        <color theme="1"/>
        <rFont val="Calibri"/>
        <family val="2"/>
        <charset val="204"/>
        <scheme val="minor"/>
      </rPr>
      <t>wij</t>
    </r>
  </si>
  <si>
    <t>Pij</t>
  </si>
  <si>
    <r>
      <t>Q</t>
    </r>
    <r>
      <rPr>
        <sz val="11"/>
        <color theme="1"/>
        <rFont val="Calibri"/>
        <family val="2"/>
        <charset val="204"/>
        <scheme val="minor"/>
      </rPr>
      <t>ij</t>
    </r>
  </si>
  <si>
    <r>
      <rPr>
        <sz val="11"/>
        <color theme="1"/>
        <rFont val="Calibri"/>
        <family val="2"/>
        <charset val="204"/>
        <scheme val="minor"/>
      </rPr>
      <t>P</t>
    </r>
    <r>
      <rPr>
        <sz val="11"/>
        <color theme="1"/>
        <rFont val="Symbol"/>
        <family val="1"/>
        <charset val="2"/>
      </rPr>
      <t>Dj</t>
    </r>
    <r>
      <rPr>
        <sz val="11"/>
        <color theme="1"/>
        <rFont val="Calibri"/>
        <family val="2"/>
        <charset val="204"/>
        <scheme val="minor"/>
      </rPr>
      <t>ij</t>
    </r>
  </si>
  <si>
    <r>
      <t>P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04"/>
        <scheme val="minor"/>
      </rPr>
      <t>wij</t>
    </r>
  </si>
  <si>
    <t>полуоси</t>
  </si>
  <si>
    <t>t'   --  направление</t>
  </si>
  <si>
    <t>Мо</t>
  </si>
  <si>
    <t>К-ты ЛР</t>
  </si>
  <si>
    <t>bi</t>
  </si>
  <si>
    <t>ai</t>
  </si>
  <si>
    <t>Dt</t>
  </si>
  <si>
    <t>Пары ЛП</t>
  </si>
  <si>
    <t>A2</t>
  </si>
  <si>
    <t>среднее</t>
  </si>
  <si>
    <t>СК-42</t>
  </si>
  <si>
    <t>Эллипсоид</t>
  </si>
  <si>
    <t>k1</t>
  </si>
  <si>
    <t>k2</t>
  </si>
  <si>
    <t>k3</t>
  </si>
  <si>
    <t>k4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</si>
  <si>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S1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</si>
  <si>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A1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</si>
  <si>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S2</t>
    </r>
    <r>
      <rPr>
        <sz val="11"/>
        <color theme="1"/>
        <rFont val="Calibri"/>
        <family val="2"/>
        <charset val="204"/>
        <scheme val="minor"/>
      </rPr>
      <t/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</si>
  <si>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S3</t>
    </r>
    <r>
      <rPr>
        <sz val="11"/>
        <color theme="1"/>
        <rFont val="Calibri"/>
        <family val="2"/>
        <charset val="204"/>
        <scheme val="minor"/>
      </rPr>
      <t/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</si>
  <si>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S4</t>
    </r>
    <r>
      <rPr>
        <sz val="11"/>
        <color theme="1"/>
        <rFont val="Calibri"/>
        <family val="2"/>
        <charset val="204"/>
        <scheme val="minor"/>
      </rPr>
      <t/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</si>
  <si>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A2</t>
    </r>
    <r>
      <rPr>
        <sz val="11"/>
        <color theme="1"/>
        <rFont val="Calibri"/>
        <family val="2"/>
        <charset val="204"/>
        <scheme val="minor"/>
      </rPr>
      <t/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</si>
  <si>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A3</t>
    </r>
    <r>
      <rPr>
        <sz val="11"/>
        <color theme="1"/>
        <rFont val="Calibri"/>
        <family val="2"/>
        <charset val="204"/>
        <scheme val="minor"/>
      </rPr>
      <t/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</si>
  <si>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charset val="204"/>
        <scheme val="minor"/>
      </rPr>
      <t/>
    </r>
  </si>
  <si>
    <t>Sг1</t>
  </si>
  <si>
    <t>Sг2</t>
  </si>
  <si>
    <t>Sг3</t>
  </si>
  <si>
    <t>Sг4</t>
  </si>
  <si>
    <t>Аг1</t>
  </si>
  <si>
    <t>Аг2</t>
  </si>
  <si>
    <t>Аг3</t>
  </si>
  <si>
    <t>Аг4</t>
  </si>
  <si>
    <t>Красовского</t>
  </si>
  <si>
    <t>Исходная СК (2 ЛП)</t>
  </si>
  <si>
    <t>Исходная СК (4 ЛП)</t>
  </si>
  <si>
    <r>
      <t>Dj</t>
    </r>
    <r>
      <rPr>
        <sz val="11"/>
        <color theme="1"/>
        <rFont val="Calibri"/>
        <family val="2"/>
        <charset val="204"/>
        <scheme val="minor"/>
      </rPr>
      <t>''</t>
    </r>
  </si>
  <si>
    <r>
      <t>Dl</t>
    </r>
    <r>
      <rPr>
        <sz val="11"/>
        <color theme="1"/>
        <rFont val="Calibri"/>
        <family val="2"/>
        <charset val="204"/>
        <scheme val="minor"/>
      </rPr>
      <t>''</t>
    </r>
  </si>
  <si>
    <r>
      <t>j</t>
    </r>
    <r>
      <rPr>
        <sz val="11"/>
        <color theme="1"/>
        <rFont val="Calibri"/>
        <family val="2"/>
        <charset val="204"/>
        <scheme val="minor"/>
      </rPr>
      <t>wgs84</t>
    </r>
  </si>
  <si>
    <r>
      <t>l</t>
    </r>
    <r>
      <rPr>
        <sz val="11"/>
        <color theme="1"/>
        <rFont val="Calibri"/>
        <family val="2"/>
        <charset val="204"/>
        <scheme val="minor"/>
      </rPr>
      <t>wgs84</t>
    </r>
  </si>
  <si>
    <t>'</t>
  </si>
  <si>
    <t>Лабораторная работа № 1, вариант</t>
  </si>
  <si>
    <t>Законы распределении случайных погрешностей.</t>
  </si>
  <si>
    <t>2.2 Найти доверительную Р попадания измерения в заданный интервал</t>
  </si>
  <si>
    <t xml:space="preserve">Р = </t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</si>
  <si>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a</t>
    </r>
  </si>
  <si>
    <r>
      <t>x</t>
    </r>
    <r>
      <rPr>
        <b/>
        <vertAlign val="subscript"/>
        <sz val="11"/>
        <color theme="1"/>
        <rFont val="Calibri"/>
        <family val="2"/>
        <charset val="204"/>
        <scheme val="minor"/>
      </rPr>
      <t>b</t>
    </r>
  </si>
  <si>
    <r>
      <t>Ф(z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>)</t>
    </r>
  </si>
  <si>
    <r>
      <t>Ф(z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)</t>
    </r>
  </si>
  <si>
    <r>
      <t>Vi</t>
    </r>
    <r>
      <rPr>
        <b/>
        <vertAlign val="superscript"/>
        <sz val="11"/>
        <color theme="1"/>
        <rFont val="Calibri"/>
        <family val="2"/>
        <charset val="204"/>
      </rPr>
      <t>2</t>
    </r>
    <r>
      <rPr>
        <b/>
        <sz val="11"/>
        <color theme="1"/>
        <rFont val="Calibri"/>
        <family val="2"/>
      </rPr>
      <t>*Pi</t>
    </r>
  </si>
  <si>
    <r>
      <t>Vi</t>
    </r>
    <r>
      <rPr>
        <b/>
        <vertAlign val="superscript"/>
        <sz val="11"/>
        <color theme="1"/>
        <rFont val="Calibri"/>
        <family val="2"/>
        <charset val="204"/>
      </rPr>
      <t>3</t>
    </r>
    <r>
      <rPr>
        <b/>
        <sz val="11"/>
        <color theme="1"/>
        <rFont val="Calibri"/>
        <family val="2"/>
      </rPr>
      <t>*Pi</t>
    </r>
  </si>
  <si>
    <r>
      <t>Vi</t>
    </r>
    <r>
      <rPr>
        <b/>
        <vertAlign val="superscript"/>
        <sz val="11"/>
        <color theme="1"/>
        <rFont val="Calibri"/>
        <family val="2"/>
        <charset val="204"/>
      </rPr>
      <t>4</t>
    </r>
    <r>
      <rPr>
        <b/>
        <sz val="11"/>
        <color theme="1"/>
        <rFont val="Calibri"/>
        <family val="2"/>
      </rPr>
      <t>*Pi</t>
    </r>
  </si>
  <si>
    <t>Лабораторная работа № 7, вариант</t>
  </si>
  <si>
    <t>Сферическая тригонометрия. Численное решение сферических треугольников.</t>
  </si>
  <si>
    <t>Лабораторная работа № 8, вариант</t>
  </si>
  <si>
    <r>
      <t>l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</si>
  <si>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r>
      <rPr>
        <b/>
        <sz val="11"/>
        <color theme="1"/>
        <rFont val="Symbol"/>
        <family val="1"/>
        <charset val="2"/>
      </rPr>
      <t>l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  <r>
      <rPr>
        <b/>
        <sz val="11"/>
        <color theme="1"/>
        <rFont val="Symbol"/>
        <family val="1"/>
        <charset val="2"/>
      </rPr>
      <t xml:space="preserve"> - l</t>
    </r>
    <r>
      <rPr>
        <b/>
        <vertAlign val="subscript"/>
        <sz val="11"/>
        <color theme="1"/>
        <rFont val="Calibri"/>
        <family val="2"/>
        <charset val="204"/>
        <scheme val="minor"/>
      </rPr>
      <t>н</t>
    </r>
  </si>
  <si>
    <r>
      <rPr>
        <b/>
        <sz val="11"/>
        <color theme="1"/>
        <rFont val="Symbol"/>
        <family val="1"/>
        <charset val="2"/>
      </rPr>
      <t>j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</si>
  <si>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r>
      <t xml:space="preserve">РД 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</si>
  <si>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r>
      <t>РШ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 i</t>
    </r>
  </si>
  <si>
    <r>
      <t>ОТШ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 i</t>
    </r>
  </si>
  <si>
    <r>
      <t xml:space="preserve">ПУ лок 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</si>
  <si>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r>
      <t xml:space="preserve">Sлок 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  <r>
      <rPr>
        <b/>
        <sz val="11"/>
        <color theme="1"/>
        <rFont val="Calibri"/>
        <family val="2"/>
        <scheme val="minor"/>
      </rPr>
      <t>, м.м.</t>
    </r>
  </si>
  <si>
    <t>9.1 Расчет плавания судна по ДБК из точки В в точку С через параметры пересечения с экватором;</t>
  </si>
  <si>
    <t>Лабораторная работа № 9, вариант</t>
  </si>
  <si>
    <t>Лабораторная работа № 11, вариант</t>
  </si>
  <si>
    <r>
      <t>P</t>
    </r>
    <r>
      <rPr>
        <vertAlign val="subscript"/>
        <sz val="11"/>
        <color theme="1"/>
        <rFont val="Symbol"/>
        <family val="1"/>
        <charset val="2"/>
      </rPr>
      <t>S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</si>
  <si>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г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</si>
  <si>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min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</si>
  <si>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max</t>
    </r>
  </si>
  <si>
    <r>
      <t>2</t>
    </r>
    <r>
      <rPr>
        <sz val="11"/>
        <color theme="1"/>
        <rFont val="Symbol"/>
        <family val="1"/>
        <charset val="2"/>
      </rPr>
      <t>t</t>
    </r>
  </si>
  <si>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>'   --  направление</t>
    </r>
  </si>
  <si>
    <r>
      <t>cos2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>/(A1-B2)</t>
    </r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</si>
  <si>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лп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</si>
  <si>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лп</t>
    </r>
  </si>
  <si>
    <t>Табл 2.24 МТ</t>
  </si>
  <si>
    <t>Лабораторная работа № 15, вариант</t>
  </si>
  <si>
    <t>Решение ОЛЗ, ОГЗ, преобразование координат.</t>
  </si>
  <si>
    <t>2.    Преобразование полученных обсернованных координат по 2 ЛП, 4 ЛП к заданной системе координат (WGS - 84).</t>
  </si>
  <si>
    <t>1.    Привести полученные ортодромическис расстояния и начальные курсы к геодезическим значениям для СК-42 методом Андуайе-Ламберта.</t>
  </si>
  <si>
    <r>
      <t>Dl</t>
    </r>
    <r>
      <rPr>
        <vertAlign val="subscript"/>
        <sz val="11"/>
        <color theme="1"/>
        <rFont val="Symbol"/>
        <family val="1"/>
        <charset val="2"/>
      </rPr>
      <t>1</t>
    </r>
  </si>
  <si>
    <r>
      <t>Dl</t>
    </r>
    <r>
      <rPr>
        <vertAlign val="subscript"/>
        <sz val="11"/>
        <color theme="1"/>
        <rFont val="Symbol"/>
        <family val="1"/>
        <charset val="2"/>
      </rPr>
      <t>2</t>
    </r>
  </si>
  <si>
    <r>
      <t>D</t>
    </r>
    <r>
      <rPr>
        <sz val="11"/>
        <color theme="1"/>
        <rFont val="Calibri"/>
        <family val="2"/>
        <charset val="204"/>
        <scheme val="minor"/>
      </rPr>
      <t>w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</si>
  <si>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D</t>
    </r>
    <r>
      <rPr>
        <sz val="11"/>
        <color theme="1"/>
        <rFont val="Calibri"/>
        <family val="2"/>
        <charset val="204"/>
        <scheme val="minor"/>
      </rPr>
      <t>w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</si>
  <si>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tg(2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charset val="204"/>
        <scheme val="minor"/>
      </rPr>
      <t>'</t>
    </r>
    <r>
      <rPr>
        <sz val="11"/>
        <color theme="1"/>
        <rFont val="Calibri"/>
        <family val="2"/>
        <scheme val="minor"/>
      </rPr>
      <t>)</t>
    </r>
  </si>
  <si>
    <t>Лабораторная работа № 10, вариант</t>
  </si>
  <si>
    <t>Лабораторная работа № 2, вариант</t>
  </si>
  <si>
    <t>Четвертный треугольник</t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</si>
  <si>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</si>
  <si>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t>ПУо</t>
  </si>
  <si>
    <t>Значение функции</t>
  </si>
  <si>
    <r>
      <t xml:space="preserve">ПУ' лок 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</si>
  <si>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t xml:space="preserve"> </t>
  </si>
  <si>
    <t>РДi'</t>
  </si>
  <si>
    <t>РШi'</t>
  </si>
  <si>
    <r>
      <t xml:space="preserve">ПУ лок </t>
    </r>
    <r>
      <rPr>
        <b/>
        <vertAlign val="subscript"/>
        <sz val="11"/>
        <rFont val="Calibri"/>
        <family val="2"/>
        <charset val="204"/>
        <scheme val="minor"/>
      </rPr>
      <t>i</t>
    </r>
  </si>
  <si>
    <t>по углам и стороне между ними</t>
  </si>
  <si>
    <t>Системы измерении дуг и углов. Вычисление тригонометрических функций.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</si>
  <si>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bscript"/>
        <sz val="11"/>
        <color theme="1"/>
        <rFont val="Calibri"/>
        <family val="2"/>
        <charset val="204"/>
      </rPr>
      <t>i</t>
    </r>
  </si>
  <si>
    <r>
      <t>P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</si>
  <si>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r>
      <t>F</t>
    </r>
    <r>
      <rPr>
        <b/>
        <vertAlign val="subscript"/>
        <sz val="11"/>
        <color theme="1"/>
        <rFont val="Calibri"/>
        <family val="2"/>
        <charset val="204"/>
        <scheme val="minor"/>
      </rPr>
      <t>i</t>
    </r>
  </si>
  <si>
    <t>2.1. Обработка группы измерений: (МО, СКП, построение гистограммы, полигона распределения, статистической, кумулятивной функции распределения)</t>
  </si>
  <si>
    <r>
      <t>Sлок</t>
    </r>
    <r>
      <rPr>
        <b/>
        <vertAlign val="subscript"/>
        <sz val="11"/>
        <rFont val="Calibri"/>
        <family val="2"/>
        <charset val="204"/>
        <scheme val="minor"/>
      </rPr>
      <t>i</t>
    </r>
  </si>
  <si>
    <r>
      <t xml:space="preserve">шаг </t>
    </r>
    <r>
      <rPr>
        <b/>
        <sz val="11"/>
        <color theme="1"/>
        <rFont val="Symbol"/>
        <family val="1"/>
        <charset val="2"/>
      </rPr>
      <t>l</t>
    </r>
  </si>
  <si>
    <t>Ор-р 1</t>
  </si>
  <si>
    <t>Ор-р 2</t>
  </si>
  <si>
    <t>Ор-р 3</t>
  </si>
  <si>
    <t>Ор-р 4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</si>
  <si>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U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</si>
  <si>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w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</si>
  <si>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U'</t>
    </r>
  </si>
  <si>
    <r>
      <t>P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</rPr>
      <t>a</t>
    </r>
    <r>
      <rPr>
        <vertAlign val="superscript"/>
        <sz val="11"/>
        <color theme="1"/>
        <rFont val="Calibri"/>
        <family val="2"/>
        <charset val="204"/>
      </rPr>
      <t>2</t>
    </r>
  </si>
  <si>
    <r>
      <t>tg(2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charset val="204"/>
        <scheme val="minor"/>
      </rPr>
      <t>'</t>
    </r>
    <r>
      <rPr>
        <sz val="11"/>
        <color theme="1"/>
        <rFont val="Calibri"/>
        <family val="2"/>
        <scheme val="minor"/>
      </rPr>
      <t>)</t>
    </r>
  </si>
  <si>
    <r>
      <t>cos2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  <scheme val="minor"/>
      </rPr>
      <t>/(A1-B2)</t>
    </r>
  </si>
  <si>
    <t>К-ты ЛП</t>
  </si>
  <si>
    <t>ИП с</t>
  </si>
  <si>
    <t>D с</t>
  </si>
  <si>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</rPr>
      <t xml:space="preserve"> П</t>
    </r>
  </si>
  <si>
    <t>g п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</si>
  <si>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04"/>
        <scheme val="minor"/>
      </rPr>
      <t>П</t>
    </r>
  </si>
  <si>
    <t>СКП НП m</t>
  </si>
  <si>
    <t>1.1 перевести заданные угловые значения во все другие единицы измерений, найти тригонометрические функции элементов и их погрешности</t>
  </si>
  <si>
    <t>1.2 найти по тригонометрическим функциям значения элементов, их погрешностей, и представить значения элементов в радианной, временной и градусной мерах</t>
  </si>
  <si>
    <r>
      <rPr>
        <sz val="11"/>
        <color theme="1"/>
        <rFont val="Symbol"/>
        <family val="1"/>
        <charset val="2"/>
      </rPr>
      <t>Dj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</si>
  <si>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Dj</t>
    </r>
    <r>
      <rPr>
        <vertAlign val="subscript"/>
        <sz val="11"/>
        <color theme="1"/>
        <rFont val="Symbol"/>
        <family val="1"/>
        <charset val="2"/>
      </rPr>
      <t>2</t>
    </r>
  </si>
  <si>
    <r>
      <rPr>
        <sz val="11"/>
        <color theme="1"/>
        <rFont val="Symbol"/>
        <family val="1"/>
        <charset val="2"/>
      </rPr>
      <t xml:space="preserve">j </t>
    </r>
    <r>
      <rPr>
        <sz val="11"/>
        <color theme="1"/>
        <rFont val="Calibri"/>
        <family val="2"/>
        <scheme val="minor"/>
      </rPr>
      <t xml:space="preserve">ср 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</si>
  <si>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rPr>
        <sz val="11"/>
        <color theme="1"/>
        <rFont val="Symbol"/>
        <family val="1"/>
        <charset val="2"/>
      </rPr>
      <t xml:space="preserve">j </t>
    </r>
    <r>
      <rPr>
        <sz val="11"/>
        <color theme="1"/>
        <rFont val="Calibri"/>
        <family val="2"/>
        <scheme val="minor"/>
      </rPr>
      <t xml:space="preserve">ср 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</si>
  <si>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ИП 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</si>
  <si>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ИП с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</si>
  <si>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D 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</si>
  <si>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D с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</si>
  <si>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</rPr>
      <t xml:space="preserve"> D</t>
    </r>
    <r>
      <rPr>
        <vertAlign val="subscript"/>
        <sz val="11"/>
        <color theme="1"/>
        <rFont val="Calibri"/>
        <family val="2"/>
        <charset val="204"/>
      </rPr>
      <t>1</t>
    </r>
  </si>
  <si>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Calibri"/>
        <family val="2"/>
      </rPr>
      <t xml:space="preserve"> D</t>
    </r>
    <r>
      <rPr>
        <vertAlign val="subscript"/>
        <sz val="11"/>
        <color theme="1"/>
        <rFont val="Calibri"/>
        <family val="2"/>
        <charset val="204"/>
      </rPr>
      <t>2</t>
    </r>
  </si>
  <si>
    <r>
      <t>g D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</si>
  <si>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g D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</si>
  <si>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D</t>
    </r>
    <r>
      <rPr>
        <vertAlign val="subscript"/>
        <sz val="11"/>
        <color theme="1"/>
        <rFont val="Calibri"/>
        <family val="2"/>
        <charset val="204"/>
      </rPr>
      <t>1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</si>
  <si>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D</t>
    </r>
    <r>
      <rPr>
        <vertAlign val="subscript"/>
        <sz val="11"/>
        <color theme="1"/>
        <rFont val="Calibri"/>
        <family val="2"/>
        <charset val="204"/>
      </rPr>
      <t>2</t>
    </r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</si>
  <si>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</si>
  <si>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</si>
  <si>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l</t>
    </r>
    <r>
      <rPr>
        <b/>
        <vertAlign val="subscript"/>
        <sz val="12"/>
        <rFont val="Times New Roman"/>
        <family val="1"/>
        <charset val="204"/>
      </rPr>
      <t>к</t>
    </r>
    <r>
      <rPr>
        <b/>
        <sz val="12"/>
        <rFont val="Symbol"/>
        <family val="1"/>
        <charset val="2"/>
      </rPr>
      <t xml:space="preserve"> - l</t>
    </r>
    <r>
      <rPr>
        <b/>
        <vertAlign val="subscript"/>
        <sz val="12"/>
        <rFont val="Times New Roman"/>
        <family val="1"/>
        <charset val="204"/>
      </rPr>
      <t>i</t>
    </r>
  </si>
  <si>
    <r>
      <t>y</t>
    </r>
    <r>
      <rPr>
        <b/>
        <vertAlign val="subscript"/>
        <sz val="12"/>
        <rFont val="Times New Roman"/>
        <family val="1"/>
        <charset val="204"/>
      </rPr>
      <t>к</t>
    </r>
  </si>
  <si>
    <r>
      <t>y</t>
    </r>
    <r>
      <rPr>
        <b/>
        <vertAlign val="subscript"/>
        <sz val="12"/>
        <rFont val="Times New Roman"/>
        <family val="1"/>
        <charset val="204"/>
      </rPr>
      <t>i</t>
    </r>
  </si>
  <si>
    <r>
      <t>К</t>
    </r>
    <r>
      <rPr>
        <b/>
        <vertAlign val="subscript"/>
        <sz val="12"/>
        <rFont val="Times New Roman"/>
        <family val="1"/>
        <charset val="204"/>
      </rPr>
      <t>iх</t>
    </r>
  </si>
  <si>
    <r>
      <t>Dj</t>
    </r>
    <r>
      <rPr>
        <b/>
        <vertAlign val="subscript"/>
        <sz val="12"/>
        <rFont val="Times New Roman"/>
        <family val="1"/>
        <charset val="204"/>
      </rPr>
      <t>x</t>
    </r>
  </si>
  <si>
    <t>НЕ СУЩЕСТВУЕТ</t>
  </si>
  <si>
    <t>Сорт ПЛП</t>
  </si>
  <si>
    <t>L</t>
  </si>
  <si>
    <r>
      <rPr>
        <sz val="11"/>
        <color theme="9" tint="0.59999389629810485"/>
        <rFont val="Calibri"/>
        <family val="2"/>
        <charset val="204"/>
        <scheme val="minor"/>
      </rPr>
      <t xml:space="preserve">Норм </t>
    </r>
    <r>
      <rPr>
        <sz val="11"/>
        <color theme="9" tint="0.59999389629810485"/>
        <rFont val="Symbol"/>
        <family val="1"/>
        <charset val="2"/>
      </rPr>
      <t>Dt</t>
    </r>
  </si>
  <si>
    <r>
      <t xml:space="preserve">Сорт </t>
    </r>
    <r>
      <rPr>
        <sz val="11"/>
        <color theme="9" tint="0.59999389629810485"/>
        <rFont val="Symbol"/>
        <family val="1"/>
        <charset val="2"/>
      </rPr>
      <t>D</t>
    </r>
    <r>
      <rPr>
        <sz val="11"/>
        <color theme="9" tint="0.59999389629810485"/>
        <rFont val="Calibri"/>
        <family val="2"/>
        <scheme val="minor"/>
      </rPr>
      <t>t</t>
    </r>
  </si>
  <si>
    <t>Расчет плавания судна по ДБК из точки E в точку F  через ортодромическую поправку</t>
  </si>
  <si>
    <t>Dj=</t>
  </si>
  <si>
    <t>Dl=</t>
  </si>
  <si>
    <r>
      <rPr>
        <sz val="11"/>
        <color theme="1"/>
        <rFont val="Symbol"/>
        <family val="1"/>
        <charset val="2"/>
      </rPr>
      <t xml:space="preserve">j </t>
    </r>
    <r>
      <rPr>
        <sz val="11"/>
        <color theme="1"/>
        <rFont val="Calibri"/>
        <family val="2"/>
        <scheme val="minor"/>
      </rPr>
      <t>ср=</t>
    </r>
  </si>
  <si>
    <r>
      <t>D</t>
    </r>
    <r>
      <rPr>
        <sz val="11"/>
        <color theme="1"/>
        <rFont val="Calibri"/>
        <family val="2"/>
        <charset val="204"/>
        <scheme val="minor"/>
      </rPr>
      <t>w</t>
    </r>
    <r>
      <rPr>
        <sz val="11"/>
        <color theme="1"/>
        <rFont val="Symbol"/>
        <family val="1"/>
        <charset val="2"/>
      </rPr>
      <t>=</t>
    </r>
  </si>
  <si>
    <t>jo=</t>
  </si>
  <si>
    <t>lo=</t>
  </si>
  <si>
    <t>Угол A</t>
  </si>
  <si>
    <t>cos(A)</t>
  </si>
  <si>
    <t>tg(A)</t>
  </si>
  <si>
    <t>ctg(A)</t>
  </si>
  <si>
    <t>sec (A)</t>
  </si>
  <si>
    <t>cosec(A)</t>
  </si>
  <si>
    <t>q =</t>
  </si>
  <si>
    <t>a+b =</t>
  </si>
  <si>
    <t>a-b =</t>
  </si>
  <si>
    <t>a =</t>
  </si>
  <si>
    <t>b =</t>
  </si>
  <si>
    <t>Mo =</t>
  </si>
  <si>
    <t>l =</t>
  </si>
  <si>
    <t>m =</t>
  </si>
  <si>
    <t>y =</t>
  </si>
  <si>
    <t>ПУн</t>
  </si>
  <si>
    <t>ПУк</t>
  </si>
  <si>
    <t>Abindan(Mean)</t>
  </si>
  <si>
    <t>S.American 1969(Mean)</t>
  </si>
  <si>
    <t>`</t>
  </si>
  <si>
    <t>Индивидуальное задание к лабораторным работам по МОС.</t>
  </si>
  <si>
    <t>Л/Р № 1. Системы измерения дуг и углов. Вычисление тригонометрических функции.</t>
  </si>
  <si>
    <t>Sin А</t>
  </si>
  <si>
    <t>Cos В</t>
  </si>
  <si>
    <t>TgC</t>
  </si>
  <si>
    <t>CtgD</t>
  </si>
  <si>
    <t>SecE</t>
  </si>
  <si>
    <t>Cosec F</t>
  </si>
  <si>
    <t>Л/Р № 2. Законы распределения случайных погрешностей.</t>
  </si>
  <si>
    <t>Кол-во изм.</t>
  </si>
  <si>
    <t>2.2. Найти доверительную Р попадания измерения в заданный интервал</t>
  </si>
  <si>
    <t>[</t>
  </si>
  <si>
    <t>]</t>
  </si>
  <si>
    <t>2.3. Найти доверительные интервалы измерений, симметричные относительно СА</t>
  </si>
  <si>
    <t>при известном СКП измерений, с заданной доверительной вероятностью Р =</t>
  </si>
  <si>
    <t>Л/Р № 7. Сферическая тригонометрия. Численное решение сферических треугольников.</t>
  </si>
  <si>
    <t>7.1 Решить 5 косоугольных сферических треутольников:</t>
  </si>
  <si>
    <t>№ 1  - по исходным данным из таблицы;</t>
  </si>
  <si>
    <t>Треугольники: № 1</t>
  </si>
  <si>
    <t>№2</t>
  </si>
  <si>
    <t>№3</t>
  </si>
  <si>
    <t>№4</t>
  </si>
  <si>
    <t>№5</t>
  </si>
  <si>
    <t>Сторона b</t>
  </si>
  <si>
    <t>Сторона с</t>
  </si>
  <si>
    <t>Угол А</t>
  </si>
  <si>
    <t>Сторона а</t>
  </si>
  <si>
    <t>7.2 Решить прямоугольный и четвертный сферические треугольники:</t>
  </si>
  <si>
    <t>Л/Р 8-10 Расчет плавания судна по ДБК :</t>
  </si>
  <si>
    <t>Л/Р №  8 из точки А в точку В по основным формулам;</t>
  </si>
  <si>
    <t>Л/Р № 9.1 из точки В в точку С через параметры пересечения с экватором;</t>
  </si>
  <si>
    <t>Л/Р № 9.2 из точки D в точку Е через вертекс;</t>
  </si>
  <si>
    <t>Пункты отхода</t>
  </si>
  <si>
    <t>Промежуточные пункты</t>
  </si>
  <si>
    <t>Пункты прихода</t>
  </si>
  <si>
    <t>СКП НП</t>
  </si>
  <si>
    <r>
      <t>D</t>
    </r>
    <r>
      <rPr>
        <vertAlign val="subscript"/>
        <sz val="8"/>
        <rFont val="Times New Roman"/>
        <family val="1"/>
        <charset val="204"/>
      </rPr>
      <t>i</t>
    </r>
    <r>
      <rPr>
        <sz val="8"/>
        <rFont val="Times New Roman"/>
        <family val="1"/>
        <charset val="204"/>
      </rPr>
      <t>, миль</t>
    </r>
  </si>
  <si>
    <t>--</t>
  </si>
  <si>
    <r>
      <t>% D</t>
    </r>
    <r>
      <rPr>
        <vertAlign val="subscript"/>
        <sz val="8"/>
        <rFont val="Times New Roman"/>
        <family val="1"/>
        <charset val="204"/>
      </rPr>
      <t>1</t>
    </r>
  </si>
  <si>
    <r>
      <t>% D</t>
    </r>
    <r>
      <rPr>
        <vertAlign val="subscript"/>
        <sz val="8"/>
        <rFont val="Times New Roman"/>
        <family val="1"/>
        <charset val="204"/>
      </rPr>
      <t>2</t>
    </r>
  </si>
  <si>
    <r>
      <t>B</t>
    </r>
    <r>
      <rPr>
        <vertAlign val="subscript"/>
        <sz val="8"/>
        <rFont val="Times New Roman"/>
        <family val="1"/>
        <charset val="204"/>
      </rPr>
      <t>i</t>
    </r>
  </si>
  <si>
    <t>1.1 перевести заданные угловые значения во все другие единицы измерении, найти тригонометрические функции элементов и их погрешности</t>
  </si>
  <si>
    <t xml:space="preserve">Вариант </t>
  </si>
  <si>
    <t>1.2 найти по значениям функций значения элементов, их погрешностей, и представить значения элементов в радианной, временной и градусной мерах</t>
  </si>
  <si>
    <t>2.1. Обработка группы измерений: (МО, СКП, гистограмма, полигон распределения, статистическая, кумулятивная функции распределения)</t>
  </si>
  <si>
    <r>
      <t>Sin</t>
    </r>
    <r>
      <rPr>
        <vertAlign val="superscript"/>
        <sz val="8"/>
        <color theme="1"/>
        <rFont val="Times New Roman"/>
        <family val="1"/>
        <charset val="204"/>
      </rPr>
      <t>2</t>
    </r>
    <r>
      <rPr>
        <sz val="8"/>
        <color theme="1"/>
        <rFont val="Times New Roman"/>
        <family val="1"/>
        <charset val="204"/>
      </rPr>
      <t>a/2</t>
    </r>
  </si>
  <si>
    <t>№ 2, 4 - по 2-м углам, найденным из предыдущего сферического треугольника и стороне, лежащей между ними из таблицы;</t>
  </si>
  <si>
    <t>№ 3, 5 - по 2-м сторонам, найденным из предыдущего сферического треугольника и углу, лежащему между ними из таблицы.</t>
  </si>
  <si>
    <t>Л/Р№ 10 из точки Е в точку F через ортодромическую поправку и с помощью карты гномонической проекции.</t>
  </si>
  <si>
    <t>1. Привести полученные ортодромические расстояния и начальные курсы  в Л/Р 8-10 к геодезическим значениям для СК-42 методом Андуайе-Ламберта.</t>
  </si>
  <si>
    <t>2. Преобразование полученных обсервованных координат по 2 ЛП, 4 ЛП к заданной системе координат (WGS - 84).</t>
  </si>
  <si>
    <t>Л/Р № 13-15 Аналитическое и графоаналитическое определение ОМС и оценка его точности при избыточных (НП-истинный пеленг).</t>
  </si>
  <si>
    <t>Лабораторная работа № 12, вариант</t>
  </si>
  <si>
    <t>Определение элементов СКЭ</t>
  </si>
  <si>
    <t xml:space="preserve"> случайных и систематических погрешностей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</si>
  <si>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</si>
  <si>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t>Dj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</si>
  <si>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t>D</t>
    </r>
    <r>
      <rPr>
        <sz val="11"/>
        <color theme="1"/>
        <rFont val="Calibri"/>
        <family val="2"/>
        <charset val="204"/>
        <scheme val="minor"/>
      </rPr>
      <t>w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</si>
  <si>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rPr>
        <b/>
        <sz val="11"/>
        <color theme="1"/>
        <rFont val="Symbol"/>
        <family val="1"/>
        <charset val="2"/>
      </rPr>
      <t>t</t>
    </r>
    <r>
      <rPr>
        <b/>
        <sz val="11"/>
        <color theme="1"/>
        <rFont val="Calibri"/>
        <family val="2"/>
      </rPr>
      <t xml:space="preserve"> П</t>
    </r>
  </si>
  <si>
    <r>
      <t>P</t>
    </r>
    <r>
      <rPr>
        <b/>
        <vertAlign val="subscript"/>
        <sz val="11"/>
        <color theme="1"/>
        <rFont val="Calibri"/>
        <family val="2"/>
        <charset val="204"/>
        <scheme val="minor"/>
      </rPr>
      <t>лп</t>
    </r>
  </si>
  <si>
    <r>
      <t>P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</rPr>
      <t>b</t>
    </r>
    <r>
      <rPr>
        <vertAlign val="superscript"/>
        <sz val="11"/>
        <color theme="1"/>
        <rFont val="Calibri"/>
        <family val="2"/>
        <charset val="204"/>
      </rPr>
      <t>2</t>
    </r>
  </si>
  <si>
    <r>
      <t>P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</rPr>
      <t>ba</t>
    </r>
  </si>
  <si>
    <r>
      <t>b'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</si>
  <si>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a'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</si>
  <si>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</rPr>
      <t>a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U</t>
    </r>
  </si>
  <si>
    <r>
      <t>P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</rPr>
      <t>b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U</t>
    </r>
  </si>
  <si>
    <r>
      <t>P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U</t>
    </r>
    <r>
      <rPr>
        <vertAlign val="superscript"/>
        <sz val="11"/>
        <color theme="1"/>
        <rFont val="Calibri"/>
        <family val="2"/>
        <charset val="204"/>
      </rPr>
      <t>2</t>
    </r>
  </si>
  <si>
    <t>Л/Р № 16 Решение ОЛЗ, ОГЗ, преобразование координат.</t>
  </si>
  <si>
    <t>Л/Р №11</t>
  </si>
  <si>
    <t>Л/Р № 13</t>
  </si>
  <si>
    <t>Л/Р № 15.1</t>
  </si>
  <si>
    <t>Л/Р № 15.2</t>
  </si>
  <si>
    <t>л/р 8</t>
  </si>
  <si>
    <t>л/р 10</t>
  </si>
  <si>
    <r>
      <t>j</t>
    </r>
    <r>
      <rPr>
        <sz val="11"/>
        <color theme="1"/>
        <rFont val="Calibri"/>
        <family val="2"/>
        <charset val="204"/>
        <scheme val="minor"/>
      </rPr>
      <t>н</t>
    </r>
  </si>
  <si>
    <r>
      <t>j</t>
    </r>
    <r>
      <rPr>
        <sz val="11"/>
        <color theme="1"/>
        <rFont val="Calibri"/>
        <family val="2"/>
        <charset val="204"/>
        <scheme val="minor"/>
      </rPr>
      <t>к</t>
    </r>
  </si>
  <si>
    <t>л/р 9.1</t>
  </si>
  <si>
    <t>л/р 9.2</t>
  </si>
  <si>
    <t>Sорт, м.м.</t>
  </si>
  <si>
    <t>Кн, град</t>
  </si>
  <si>
    <t>Sорт, рад</t>
  </si>
  <si>
    <t>Кн, рад</t>
  </si>
  <si>
    <t>СК</t>
  </si>
  <si>
    <t>f(V)</t>
  </si>
  <si>
    <r>
      <t>z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</si>
  <si>
    <r>
      <t>z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</si>
  <si>
    <t>Лабораторная работы № 13, вариант</t>
  </si>
  <si>
    <t>Л/Р №11-12. Аналитическое и графоаналитическое определение ОМС и оценка его точности по двум ЛП.</t>
  </si>
  <si>
    <t>ОПРЕДЕЛЕНИЕ ОБСЕРВОВАННЫХ КООРДИНАТ МЕСТА СУДНА ПО ДВУМ ЛП</t>
  </si>
  <si>
    <t>ОЦЕНКА ТОЧНОСТИ ОБСЕРВОВАННЫХ КООРДИНАТ МЕСТА СУДНА ПО 2 ЛП</t>
  </si>
  <si>
    <t>ОПРЕДЕЛЕНИЕ ОБСЕРВОВАННЫХ КООРДИНАТ МЕСТА СУДНА ПО</t>
  </si>
  <si>
    <t>ИЗБЫТОЧНЫМ ЛИНИЯМ ПОЛОЖЕНИЯ ПРИ СЛУЧАЙНЫХ ПОГРЕШНОСТЯХ</t>
  </si>
  <si>
    <t>ИЗБЫТОЧНЫМ ЛП ПРИ ДЕЙСТВИИ СЛУЧАЙНЫХ И СИСТЕМАТИЧЕСКИХ ПОГРЕШНОСТЕЙ</t>
  </si>
  <si>
    <t>15.1 Определение ОМС при повторяющихся систематических погрешностях</t>
  </si>
  <si>
    <t>Лабораторная работа № 14, вариант</t>
  </si>
  <si>
    <t>ГРАФОАНАЛИТИЧЕСКОЕ ОПРЕДЕЛЕНИЕ И ОЦЕНКА ТОЧНОСТИ ОМС ПРИ ИЗБЫТОЧНЫХ ЛИНИЯХ ПОЛОЖЕНИЯ</t>
  </si>
  <si>
    <t>9.2 Расчет плавания судна по ДБК из точки D в точку Е через вертекс;</t>
  </si>
  <si>
    <t>Расчет плавания судна по ДБК из точки А в точку В по основным формулам</t>
  </si>
  <si>
    <t>2.3 Найти доверительные интервалы измерений, симметричные относительно СА при известном СКП измерений, с заданной вероятностью</t>
  </si>
  <si>
    <t>15.2 Определение ОМС при совместном действии</t>
  </si>
  <si>
    <t>e</t>
  </si>
  <si>
    <t>МЧ</t>
  </si>
  <si>
    <t>РМЧ</t>
  </si>
  <si>
    <t>ф grad</t>
  </si>
  <si>
    <t>N</t>
  </si>
  <si>
    <t>W</t>
  </si>
  <si>
    <t>малой</t>
  </si>
  <si>
    <t/>
  </si>
  <si>
    <t>Угол С</t>
  </si>
  <si>
    <t>Проверка на существование</t>
  </si>
  <si>
    <t>a+b&gt;c</t>
  </si>
  <si>
    <t>A+B+C&gt;180</t>
  </si>
  <si>
    <t>A+B-C&lt;180</t>
  </si>
  <si>
    <t>a+c&gt;b</t>
  </si>
  <si>
    <t>a+b+c&gt;0</t>
  </si>
  <si>
    <t>A+C-B&lt;18</t>
  </si>
  <si>
    <t>b+c&gt;a</t>
  </si>
  <si>
    <t>A+B+C&lt;540</t>
  </si>
  <si>
    <t>B+C-A&lt;180</t>
  </si>
  <si>
    <t>a|b=A|B</t>
  </si>
  <si>
    <t>sin=sin=sin</t>
  </si>
  <si>
    <t>a+b|180=A+B|180</t>
  </si>
  <si>
    <t>a|c=A|C</t>
  </si>
  <si>
    <t>a+b+c&lt;360</t>
  </si>
  <si>
    <t>a+c|180=A+C|180</t>
  </si>
  <si>
    <t>c|b=C|B</t>
  </si>
  <si>
    <t>c+b|180=C+B|180</t>
  </si>
  <si>
    <t>дано</t>
  </si>
  <si>
    <t>нужно посчитать</t>
  </si>
  <si>
    <t>цветовые обозначения:</t>
  </si>
  <si>
    <t>Математическое ожидание</t>
  </si>
  <si>
    <t>СКП</t>
  </si>
  <si>
    <t>СКП МО</t>
  </si>
  <si>
    <t>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</si>
</sst>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"/>
    <numFmt numFmtId="165" formatCode="0.000"/>
    <numFmt numFmtId="166" formatCode="0.0"/>
    <numFmt numFmtId="167" formatCode="0.000000"/>
    <numFmt numFmtId="168" formatCode="0.0000"/>
    <numFmt numFmtId="169" formatCode="0.00000"/>
    <numFmt numFmtId="170" formatCode="0.000E+00"/>
    <numFmt numFmtId="171" formatCode="0.0;[Red]0.0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Symbol"/>
      <family val="1"/>
      <charset val="2"/>
    </font>
    <font>
      <vertAlign val="super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vertAlign val="subscript"/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</font>
    <font>
      <vertAlign val="subscript"/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charset val="204"/>
      <scheme val="minor"/>
    </font>
    <font>
      <b/>
      <vertAlign val="sub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b/>
      <sz val="11"/>
      <color theme="0"/>
      <name val="Calibri"/>
      <family val="2"/>
      <scheme val="minor"/>
    </font>
    <font>
      <b/>
      <sz val="12"/>
      <name val="Symbol"/>
      <family val="1"/>
      <charset val="204"/>
    </font>
    <font>
      <b/>
      <vertAlign val="subscript"/>
      <sz val="12"/>
      <name val="Times New Roman"/>
      <family val="1"/>
      <charset val="204"/>
    </font>
    <font>
      <b/>
      <sz val="12"/>
      <name val="Symbol"/>
      <family val="1"/>
      <charset val="2"/>
    </font>
    <font>
      <b/>
      <sz val="12"/>
      <name val="Times New Roman"/>
      <family val="1"/>
      <charset val="204"/>
    </font>
    <font>
      <sz val="11"/>
      <color theme="9" tint="0.59999389629810485"/>
      <name val="Calibri"/>
      <family val="2"/>
      <scheme val="minor"/>
    </font>
    <font>
      <sz val="11"/>
      <color theme="9" tint="0.59999389629810485"/>
      <name val="Symbol"/>
      <family val="2"/>
      <charset val="204"/>
    </font>
    <font>
      <sz val="11"/>
      <color theme="9" tint="0.59999389629810485"/>
      <name val="Calibri"/>
      <family val="2"/>
      <charset val="204"/>
      <scheme val="minor"/>
    </font>
    <font>
      <sz val="11"/>
      <color theme="9" tint="0.59999389629810485"/>
      <name val="Symbol"/>
      <family val="1"/>
      <charset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Symbol"/>
      <family val="1"/>
      <charset val="2"/>
    </font>
    <font>
      <vertAlign val="subscript"/>
      <sz val="8"/>
      <name val="Times New Roman"/>
      <family val="1"/>
      <charset val="204"/>
    </font>
    <font>
      <sz val="10"/>
      <name val="Arial Cyr"/>
      <charset val="204"/>
    </font>
    <font>
      <sz val="8"/>
      <color rgb="FFFF0000"/>
      <name val="Times New Roman"/>
      <family val="1"/>
      <charset val="204"/>
    </font>
    <font>
      <sz val="8"/>
      <color theme="0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rgb="FFFF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3" fillId="0" borderId="0" applyNumberFormat="0" applyFont="0" applyFill="0" applyBorder="0" applyAlignment="0" applyProtection="0">
      <alignment vertical="top"/>
    </xf>
    <xf numFmtId="0" fontId="23" fillId="0" borderId="0" applyNumberFormat="0" applyFont="0" applyFill="0" applyBorder="0" applyAlignment="0" applyProtection="0">
      <alignment vertical="top"/>
    </xf>
    <xf numFmtId="0" fontId="23" fillId="0" borderId="0" applyNumberFormat="0" applyFont="0" applyFill="0" applyBorder="0" applyAlignment="0" applyProtection="0">
      <alignment vertical="top"/>
    </xf>
    <xf numFmtId="0" fontId="57" fillId="0" borderId="0"/>
    <xf numFmtId="0" fontId="23" fillId="0" borderId="0" applyNumberFormat="0" applyFont="0" applyFill="0" applyBorder="0" applyAlignment="0" applyProtection="0">
      <alignment vertical="top"/>
    </xf>
  </cellStyleXfs>
  <cellXfs count="949">
    <xf numFmtId="0" fontId="0" fillId="0" borderId="0" xfId="0"/>
    <xf numFmtId="2" fontId="0" fillId="0" borderId="0" xfId="0" applyNumberFormat="1"/>
    <xf numFmtId="0" fontId="0" fillId="0" borderId="1" xfId="0" applyBorder="1"/>
    <xf numFmtId="0" fontId="10" fillId="0" borderId="0" xfId="0" applyFont="1"/>
    <xf numFmtId="0" fontId="0" fillId="0" borderId="6" xfId="0" applyBorder="1"/>
    <xf numFmtId="0" fontId="0" fillId="0" borderId="18" xfId="0" applyBorder="1" applyAlignment="1">
      <alignment horizontal="center"/>
    </xf>
    <xf numFmtId="0" fontId="11" fillId="0" borderId="0" xfId="0" applyFont="1"/>
    <xf numFmtId="2" fontId="0" fillId="0" borderId="28" xfId="0" applyNumberFormat="1" applyBorder="1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0" fillId="0" borderId="1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7" fillId="0" borderId="39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11" fillId="0" borderId="45" xfId="0" applyFon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8" xfId="0" applyBorder="1" applyAlignment="1">
      <alignment horizontal="center"/>
    </xf>
    <xf numFmtId="0" fontId="11" fillId="0" borderId="14" xfId="0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/>
    </xf>
    <xf numFmtId="2" fontId="17" fillId="0" borderId="37" xfId="0" applyNumberFormat="1" applyFont="1" applyBorder="1" applyAlignment="1">
      <alignment horizontal="center"/>
    </xf>
    <xf numFmtId="2" fontId="17" fillId="0" borderId="51" xfId="0" applyNumberFormat="1" applyFont="1" applyBorder="1" applyAlignment="1">
      <alignment horizontal="center"/>
    </xf>
    <xf numFmtId="166" fontId="17" fillId="0" borderId="50" xfId="0" applyNumberFormat="1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0" xfId="0" applyFont="1" applyAlignment="1">
      <alignment horizontal="left"/>
    </xf>
    <xf numFmtId="166" fontId="0" fillId="0" borderId="4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2" fontId="18" fillId="0" borderId="41" xfId="0" applyNumberFormat="1" applyFont="1" applyBorder="1" applyAlignment="1">
      <alignment horizontal="center"/>
    </xf>
    <xf numFmtId="166" fontId="14" fillId="0" borderId="58" xfId="0" applyNumberFormat="1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/>
    <xf numFmtId="0" fontId="0" fillId="0" borderId="18" xfId="0" applyBorder="1"/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43" xfId="0" applyBorder="1"/>
    <xf numFmtId="0" fontId="14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167" fontId="0" fillId="0" borderId="0" xfId="0" applyNumberFormat="1"/>
    <xf numFmtId="0" fontId="0" fillId="4" borderId="18" xfId="0" applyFill="1" applyBorder="1" applyAlignment="1">
      <alignment horizontal="center"/>
    </xf>
    <xf numFmtId="0" fontId="0" fillId="4" borderId="46" xfId="0" applyFill="1" applyBorder="1" applyAlignment="1">
      <alignment horizontal="center"/>
    </xf>
    <xf numFmtId="166" fontId="0" fillId="4" borderId="46" xfId="0" applyNumberFormat="1" applyFill="1" applyBorder="1" applyAlignment="1">
      <alignment horizontal="center"/>
    </xf>
    <xf numFmtId="0" fontId="11" fillId="4" borderId="46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0" borderId="26" xfId="0" applyBorder="1" applyAlignment="1">
      <alignment horizontal="center"/>
    </xf>
    <xf numFmtId="0" fontId="0" fillId="0" borderId="57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24" fillId="0" borderId="0" xfId="1" applyNumberFormat="1" applyFont="1" applyFill="1" applyBorder="1" applyAlignment="1" applyProtection="1">
      <alignment vertical="top"/>
    </xf>
    <xf numFmtId="0" fontId="23" fillId="0" borderId="0" xfId="1" applyNumberFormat="1" applyFont="1" applyFill="1" applyBorder="1" applyAlignment="1" applyProtection="1">
      <alignment vertical="top"/>
    </xf>
    <xf numFmtId="0" fontId="25" fillId="0" borderId="0" xfId="1" applyNumberFormat="1" applyFont="1" applyFill="1" applyBorder="1" applyAlignment="1" applyProtection="1">
      <alignment vertical="top"/>
    </xf>
    <xf numFmtId="0" fontId="26" fillId="0" borderId="0" xfId="1" applyNumberFormat="1" applyFont="1" applyFill="1" applyBorder="1" applyAlignment="1" applyProtection="1">
      <alignment vertical="top"/>
    </xf>
    <xf numFmtId="2" fontId="0" fillId="5" borderId="1" xfId="0" applyNumberFormat="1" applyFill="1" applyBorder="1" applyAlignment="1">
      <alignment horizontal="center"/>
    </xf>
    <xf numFmtId="0" fontId="0" fillId="2" borderId="48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49" fontId="19" fillId="3" borderId="46" xfId="0" quotePrefix="1" applyNumberFormat="1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31" fillId="0" borderId="0" xfId="2" applyNumberFormat="1" applyFont="1" applyFill="1" applyBorder="1" applyAlignment="1" applyProtection="1">
      <alignment vertical="top"/>
    </xf>
    <xf numFmtId="0" fontId="23" fillId="0" borderId="0" xfId="2" applyNumberFormat="1" applyFont="1" applyFill="1" applyBorder="1" applyAlignment="1" applyProtection="1">
      <alignment vertical="top"/>
    </xf>
    <xf numFmtId="0" fontId="22" fillId="0" borderId="0" xfId="2" applyNumberFormat="1" applyFont="1" applyFill="1" applyBorder="1" applyAlignment="1" applyProtection="1">
      <alignment vertical="top"/>
    </xf>
    <xf numFmtId="0" fontId="0" fillId="0" borderId="13" xfId="0" applyBorder="1"/>
    <xf numFmtId="166" fontId="0" fillId="3" borderId="46" xfId="0" applyNumberFormat="1" applyFill="1" applyBorder="1" applyAlignment="1">
      <alignment horizontal="center" vertical="center"/>
    </xf>
    <xf numFmtId="0" fontId="10" fillId="0" borderId="1" xfId="0" applyFont="1" applyBorder="1"/>
    <xf numFmtId="168" fontId="0" fillId="0" borderId="0" xfId="0" applyNumberFormat="1"/>
    <xf numFmtId="2" fontId="10" fillId="0" borderId="37" xfId="0" applyNumberFormat="1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0" fillId="0" borderId="64" xfId="0" applyBorder="1"/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0" xfId="0" applyFont="1" applyAlignment="1">
      <alignment horizontal="right"/>
    </xf>
    <xf numFmtId="2" fontId="17" fillId="0" borderId="23" xfId="0" applyNumberFormat="1" applyFont="1" applyBorder="1" applyAlignment="1">
      <alignment horizontal="center"/>
    </xf>
    <xf numFmtId="2" fontId="14" fillId="0" borderId="23" xfId="0" applyNumberFormat="1" applyFont="1" applyBorder="1"/>
    <xf numFmtId="0" fontId="34" fillId="0" borderId="23" xfId="0" applyFont="1" applyBorder="1" applyAlignment="1">
      <alignment horizontal="center"/>
    </xf>
    <xf numFmtId="166" fontId="34" fillId="0" borderId="24" xfId="0" applyNumberFormat="1" applyFont="1" applyBorder="1" applyAlignment="1">
      <alignment horizontal="center"/>
    </xf>
    <xf numFmtId="166" fontId="33" fillId="0" borderId="1" xfId="0" applyNumberFormat="1" applyFont="1" applyBorder="1"/>
    <xf numFmtId="166" fontId="33" fillId="0" borderId="8" xfId="0" applyNumberFormat="1" applyFont="1" applyBorder="1" applyAlignment="1">
      <alignment horizontal="center"/>
    </xf>
    <xf numFmtId="169" fontId="0" fillId="0" borderId="1" xfId="0" applyNumberFormat="1" applyBorder="1"/>
    <xf numFmtId="169" fontId="0" fillId="0" borderId="0" xfId="0" applyNumberFormat="1"/>
    <xf numFmtId="169" fontId="0" fillId="0" borderId="45" xfId="0" applyNumberFormat="1" applyBorder="1" applyAlignment="1">
      <alignment horizontal="center"/>
    </xf>
    <xf numFmtId="0" fontId="10" fillId="0" borderId="18" xfId="0" applyFont="1" applyBorder="1"/>
    <xf numFmtId="2" fontId="0" fillId="0" borderId="46" xfId="0" applyNumberFormat="1" applyBorder="1"/>
    <xf numFmtId="0" fontId="0" fillId="0" borderId="30" xfId="0" applyBorder="1"/>
    <xf numFmtId="0" fontId="11" fillId="0" borderId="63" xfId="0" applyFont="1" applyBorder="1" applyAlignment="1">
      <alignment horizontal="center"/>
    </xf>
    <xf numFmtId="2" fontId="0" fillId="0" borderId="63" xfId="0" applyNumberFormat="1" applyBorder="1"/>
    <xf numFmtId="0" fontId="0" fillId="0" borderId="65" xfId="0" applyBorder="1"/>
    <xf numFmtId="0" fontId="10" fillId="0" borderId="12" xfId="0" applyFont="1" applyBorder="1" applyAlignment="1">
      <alignment horizontal="center" vertical="center"/>
    </xf>
    <xf numFmtId="2" fontId="10" fillId="0" borderId="37" xfId="0" applyNumberFormat="1" applyFont="1" applyBorder="1" applyAlignment="1">
      <alignment horizontal="center" vertical="center"/>
    </xf>
    <xf numFmtId="2" fontId="17" fillId="0" borderId="37" xfId="0" applyNumberFormat="1" applyFont="1" applyBorder="1" applyAlignment="1">
      <alignment horizontal="center" vertical="center"/>
    </xf>
    <xf numFmtId="2" fontId="17" fillId="0" borderId="51" xfId="0" applyNumberFormat="1" applyFont="1" applyBorder="1" applyAlignment="1">
      <alignment horizontal="center" vertical="center"/>
    </xf>
    <xf numFmtId="166" fontId="17" fillId="0" borderId="50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5" xfId="0" applyNumberForma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48" xfId="0" applyNumberForma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166" fontId="14" fillId="0" borderId="50" xfId="0" applyNumberFormat="1" applyFont="1" applyBorder="1" applyAlignment="1">
      <alignment horizontal="center" vertical="center"/>
    </xf>
    <xf numFmtId="0" fontId="11" fillId="0" borderId="1" xfId="0" applyFont="1" applyBorder="1"/>
    <xf numFmtId="0" fontId="17" fillId="0" borderId="23" xfId="0" applyFont="1" applyBorder="1" applyAlignment="1">
      <alignment horizontal="center"/>
    </xf>
    <xf numFmtId="2" fontId="0" fillId="0" borderId="60" xfId="0" applyNumberFormat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2" fontId="0" fillId="0" borderId="68" xfId="0" applyNumberForma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26" xfId="0" applyBorder="1"/>
    <xf numFmtId="0" fontId="0" fillId="0" borderId="56" xfId="0" applyBorder="1"/>
    <xf numFmtId="0" fontId="0" fillId="0" borderId="57" xfId="0" applyBorder="1"/>
    <xf numFmtId="0" fontId="10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6" fontId="0" fillId="0" borderId="45" xfId="0" applyNumberFormat="1" applyBorder="1" applyAlignment="1">
      <alignment horizontal="center"/>
    </xf>
    <xf numFmtId="0" fontId="0" fillId="0" borderId="46" xfId="0" applyBorder="1"/>
    <xf numFmtId="2" fontId="0" fillId="0" borderId="1" xfId="0" applyNumberFormat="1" applyBorder="1"/>
    <xf numFmtId="0" fontId="0" fillId="0" borderId="61" xfId="0" applyBorder="1" applyAlignment="1">
      <alignment horizontal="center"/>
    </xf>
    <xf numFmtId="0" fontId="0" fillId="0" borderId="38" xfId="0" applyBorder="1" applyAlignment="1">
      <alignment horizontal="center"/>
    </xf>
    <xf numFmtId="166" fontId="0" fillId="0" borderId="64" xfId="0" applyNumberFormat="1" applyBorder="1"/>
    <xf numFmtId="0" fontId="8" fillId="0" borderId="30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49" fontId="19" fillId="0" borderId="0" xfId="0" quotePrefix="1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0" fontId="17" fillId="0" borderId="62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169" fontId="0" fillId="0" borderId="63" xfId="0" applyNumberForma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19" fillId="0" borderId="64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0" fillId="0" borderId="70" xfId="0" applyBorder="1"/>
    <xf numFmtId="0" fontId="17" fillId="0" borderId="64" xfId="0" quotePrefix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3" xfId="0" applyBorder="1" applyAlignment="1">
      <alignment horizontal="center"/>
    </xf>
    <xf numFmtId="0" fontId="17" fillId="0" borderId="63" xfId="0" applyFont="1" applyBorder="1" applyAlignment="1">
      <alignment horizontal="center" vertical="center"/>
    </xf>
    <xf numFmtId="0" fontId="0" fillId="0" borderId="70" xfId="0" applyBorder="1" applyAlignment="1">
      <alignment horizontal="center"/>
    </xf>
    <xf numFmtId="2" fontId="0" fillId="0" borderId="70" xfId="0" applyNumberFormat="1" applyBorder="1" applyAlignment="1">
      <alignment horizontal="center" vertical="center"/>
    </xf>
    <xf numFmtId="0" fontId="17" fillId="0" borderId="64" xfId="0" applyFont="1" applyBorder="1" applyAlignment="1">
      <alignment horizontal="center"/>
    </xf>
    <xf numFmtId="0" fontId="17" fillId="0" borderId="45" xfId="0" applyFont="1" applyBorder="1" applyAlignment="1">
      <alignment horizontal="center" vertical="center"/>
    </xf>
    <xf numFmtId="0" fontId="0" fillId="0" borderId="45" xfId="0" applyBorder="1"/>
    <xf numFmtId="0" fontId="10" fillId="3" borderId="43" xfId="0" applyFont="1" applyFill="1" applyBorder="1" applyAlignment="1">
      <alignment horizontal="center"/>
    </xf>
    <xf numFmtId="0" fontId="0" fillId="0" borderId="65" xfId="0" applyBorder="1" applyAlignment="1">
      <alignment horizontal="center" vertical="center"/>
    </xf>
    <xf numFmtId="0" fontId="0" fillId="0" borderId="64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43" xfId="0" applyBorder="1" applyAlignment="1">
      <alignment vertical="center"/>
    </xf>
    <xf numFmtId="166" fontId="0" fillId="0" borderId="46" xfId="0" applyNumberFormat="1" applyBorder="1"/>
    <xf numFmtId="0" fontId="11" fillId="0" borderId="18" xfId="0" applyFont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22" fillId="3" borderId="4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49" fontId="11" fillId="3" borderId="26" xfId="0" quotePrefix="1" applyNumberFormat="1" applyFont="1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165" fontId="0" fillId="0" borderId="47" xfId="0" applyNumberForma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49" fontId="11" fillId="3" borderId="56" xfId="0" quotePrefix="1" applyNumberFormat="1" applyFont="1" applyFill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49" fontId="11" fillId="3" borderId="57" xfId="0" quotePrefix="1" applyNumberFormat="1" applyFon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49" fontId="11" fillId="3" borderId="16" xfId="0" quotePrefix="1" applyNumberFormat="1" applyFont="1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17" fillId="0" borderId="47" xfId="0" applyFont="1" applyBorder="1" applyAlignment="1">
      <alignment vertical="center"/>
    </xf>
    <xf numFmtId="0" fontId="17" fillId="0" borderId="45" xfId="0" applyFont="1" applyBorder="1" applyAlignment="1">
      <alignment vertical="center"/>
    </xf>
    <xf numFmtId="0" fontId="0" fillId="7" borderId="18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166" fontId="0" fillId="7" borderId="46" xfId="0" applyNumberFormat="1" applyFill="1" applyBorder="1" applyAlignment="1">
      <alignment horizontal="center"/>
    </xf>
    <xf numFmtId="0" fontId="11" fillId="7" borderId="46" xfId="0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167" fontId="0" fillId="7" borderId="45" xfId="0" applyNumberFormat="1" applyFill="1" applyBorder="1"/>
    <xf numFmtId="2" fontId="0" fillId="0" borderId="18" xfId="0" applyNumberFormat="1" applyBorder="1"/>
    <xf numFmtId="2" fontId="0" fillId="0" borderId="30" xfId="0" applyNumberFormat="1" applyBorder="1"/>
    <xf numFmtId="0" fontId="41" fillId="0" borderId="0" xfId="0" applyFont="1" applyAlignment="1">
      <alignment horizontal="center" vertical="center"/>
    </xf>
    <xf numFmtId="49" fontId="41" fillId="0" borderId="0" xfId="0" quotePrefix="1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2" fontId="11" fillId="0" borderId="0" xfId="0" applyNumberFormat="1" applyFont="1" applyAlignment="1">
      <alignment horizontal="center"/>
    </xf>
    <xf numFmtId="0" fontId="0" fillId="0" borderId="24" xfId="0" applyBorder="1" applyAlignment="1">
      <alignment horizontal="center" vertical="center"/>
    </xf>
    <xf numFmtId="0" fontId="42" fillId="0" borderId="23" xfId="0" applyFon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66" fontId="0" fillId="0" borderId="50" xfId="0" applyNumberFormat="1" applyBorder="1" applyAlignment="1">
      <alignment horizontal="center" vertical="center"/>
    </xf>
    <xf numFmtId="165" fontId="0" fillId="3" borderId="50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2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46" fillId="0" borderId="0" xfId="0" applyFont="1"/>
    <xf numFmtId="0" fontId="46" fillId="8" borderId="1" xfId="0" applyFont="1" applyFill="1" applyBorder="1"/>
    <xf numFmtId="0" fontId="47" fillId="8" borderId="1" xfId="0" applyFont="1" applyFill="1" applyBorder="1" applyAlignment="1">
      <alignment horizontal="right"/>
    </xf>
    <xf numFmtId="0" fontId="46" fillId="8" borderId="1" xfId="0" applyFont="1" applyFill="1" applyBorder="1" applyAlignment="1">
      <alignment horizontal="right"/>
    </xf>
    <xf numFmtId="1" fontId="0" fillId="0" borderId="0" xfId="0" applyNumberFormat="1"/>
    <xf numFmtId="0" fontId="10" fillId="6" borderId="7" xfId="0" applyFont="1" applyFill="1" applyBorder="1" applyAlignment="1">
      <alignment horizontal="center" vertical="center"/>
    </xf>
    <xf numFmtId="165" fontId="10" fillId="6" borderId="8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4" fontId="10" fillId="6" borderId="18" xfId="0" applyNumberFormat="1" applyFont="1" applyFill="1" applyBorder="1" applyAlignment="1">
      <alignment horizontal="center" vertical="center"/>
    </xf>
    <xf numFmtId="164" fontId="10" fillId="6" borderId="29" xfId="0" applyNumberFormat="1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11" fillId="0" borderId="18" xfId="0" applyFont="1" applyBorder="1" applyAlignment="1">
      <alignment horizontal="right" vertical="center"/>
    </xf>
    <xf numFmtId="0" fontId="11" fillId="0" borderId="18" xfId="0" applyFont="1" applyBorder="1" applyAlignment="1">
      <alignment horizontal="right"/>
    </xf>
    <xf numFmtId="0" fontId="0" fillId="0" borderId="0" xfId="0" applyAlignment="1">
      <alignment horizontal="right"/>
    </xf>
    <xf numFmtId="0" fontId="11" fillId="0" borderId="1" xfId="0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9" fillId="0" borderId="18" xfId="0" applyFont="1" applyBorder="1" applyAlignment="1">
      <alignment horizontal="right" vertical="center"/>
    </xf>
    <xf numFmtId="0" fontId="39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2" fontId="9" fillId="0" borderId="1" xfId="0" applyNumberFormat="1" applyFont="1" applyBorder="1"/>
    <xf numFmtId="166" fontId="9" fillId="0" borderId="0" xfId="0" applyNumberFormat="1" applyFont="1"/>
    <xf numFmtId="169" fontId="10" fillId="6" borderId="2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14" fillId="5" borderId="1" xfId="0" applyNumberFormat="1" applyFont="1" applyFill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165" fontId="0" fillId="0" borderId="1" xfId="0" applyNumberFormat="1" applyBorder="1"/>
    <xf numFmtId="1" fontId="14" fillId="8" borderId="1" xfId="0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/>
    <xf numFmtId="2" fontId="14" fillId="8" borderId="1" xfId="0" applyNumberFormat="1" applyFont="1" applyFill="1" applyBorder="1"/>
    <xf numFmtId="166" fontId="14" fillId="8" borderId="1" xfId="0" applyNumberFormat="1" applyFont="1" applyFill="1" applyBorder="1"/>
    <xf numFmtId="0" fontId="0" fillId="0" borderId="18" xfId="0" applyBorder="1" applyAlignment="1">
      <alignment horizontal="center" vertical="center"/>
    </xf>
    <xf numFmtId="166" fontId="0" fillId="0" borderId="46" xfId="0" applyNumberFormat="1" applyBorder="1" applyAlignment="1">
      <alignment horizontal="center" vertical="center"/>
    </xf>
    <xf numFmtId="49" fontId="10" fillId="0" borderId="46" xfId="0" quotePrefix="1" applyNumberFormat="1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/>
    </xf>
    <xf numFmtId="165" fontId="0" fillId="0" borderId="1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3" borderId="30" xfId="0" applyFont="1" applyFill="1" applyBorder="1" applyAlignment="1">
      <alignment horizontal="center"/>
    </xf>
    <xf numFmtId="169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5" fillId="0" borderId="0" xfId="0" applyFont="1"/>
    <xf numFmtId="1" fontId="0" fillId="6" borderId="62" xfId="0" applyNumberFormat="1" applyFill="1" applyBorder="1" applyAlignment="1">
      <alignment horizontal="right"/>
    </xf>
    <xf numFmtId="1" fontId="0" fillId="6" borderId="18" xfId="0" applyNumberFormat="1" applyFill="1" applyBorder="1" applyAlignment="1">
      <alignment horizontal="right"/>
    </xf>
    <xf numFmtId="2" fontId="14" fillId="0" borderId="30" xfId="0" applyNumberFormat="1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/>
    </xf>
    <xf numFmtId="0" fontId="52" fillId="0" borderId="0" xfId="0" applyFont="1"/>
    <xf numFmtId="0" fontId="52" fillId="0" borderId="0" xfId="0" applyFont="1" applyAlignment="1">
      <alignment vertical="center"/>
    </xf>
    <xf numFmtId="0" fontId="54" fillId="0" borderId="0" xfId="3" applyNumberFormat="1" applyFont="1" applyFill="1" applyBorder="1" applyAlignment="1" applyProtection="1">
      <alignment vertical="center"/>
    </xf>
    <xf numFmtId="0" fontId="54" fillId="0" borderId="43" xfId="3" quotePrefix="1" applyNumberFormat="1" applyFont="1" applyFill="1" applyBorder="1" applyAlignment="1" applyProtection="1">
      <alignment horizontal="center" vertical="center"/>
    </xf>
    <xf numFmtId="0" fontId="54" fillId="0" borderId="45" xfId="3" quotePrefix="1" applyNumberFormat="1" applyFont="1" applyFill="1" applyBorder="1" applyAlignment="1" applyProtection="1">
      <alignment horizontal="center" vertical="center"/>
    </xf>
    <xf numFmtId="0" fontId="52" fillId="0" borderId="45" xfId="0" quotePrefix="1" applyFont="1" applyBorder="1" applyAlignment="1">
      <alignment horizontal="left" vertical="center"/>
    </xf>
    <xf numFmtId="0" fontId="54" fillId="0" borderId="43" xfId="3" quotePrefix="1" applyNumberFormat="1" applyFont="1" applyFill="1" applyBorder="1" applyAlignment="1" applyProtection="1">
      <alignment horizontal="left" vertical="center"/>
    </xf>
    <xf numFmtId="0" fontId="52" fillId="0" borderId="63" xfId="0" applyFont="1" applyBorder="1" applyAlignment="1">
      <alignment vertical="center"/>
    </xf>
    <xf numFmtId="0" fontId="52" fillId="0" borderId="63" xfId="0" quotePrefix="1" applyFont="1" applyBorder="1" applyAlignment="1">
      <alignment vertical="center"/>
    </xf>
    <xf numFmtId="0" fontId="52" fillId="0" borderId="45" xfId="0" applyFont="1" applyBorder="1" applyAlignment="1">
      <alignment vertical="center"/>
    </xf>
    <xf numFmtId="0" fontId="52" fillId="0" borderId="45" xfId="0" quotePrefix="1" applyFont="1" applyBorder="1" applyAlignment="1">
      <alignment vertical="center"/>
    </xf>
    <xf numFmtId="0" fontId="52" fillId="0" borderId="46" xfId="0" quotePrefix="1" applyFont="1" applyBorder="1" applyAlignment="1">
      <alignment horizontal="right" vertical="center"/>
    </xf>
    <xf numFmtId="0" fontId="54" fillId="0" borderId="0" xfId="3" applyNumberFormat="1" applyFont="1" applyFill="1" applyBorder="1" applyAlignment="1" applyProtection="1">
      <alignment vertical="center" wrapText="1"/>
    </xf>
    <xf numFmtId="166" fontId="54" fillId="0" borderId="46" xfId="3" applyNumberFormat="1" applyFont="1" applyFill="1" applyBorder="1" applyAlignment="1" applyProtection="1">
      <alignment vertical="center" wrapText="1"/>
    </xf>
    <xf numFmtId="0" fontId="54" fillId="0" borderId="0" xfId="3" applyNumberFormat="1" applyFont="1" applyFill="1" applyBorder="1" applyAlignment="1" applyProtection="1">
      <alignment horizontal="center" vertical="center"/>
    </xf>
    <xf numFmtId="166" fontId="54" fillId="0" borderId="0" xfId="3" applyNumberFormat="1" applyFont="1" applyFill="1" applyBorder="1" applyAlignment="1" applyProtection="1">
      <alignment horizontal="center" vertical="center" wrapText="1"/>
    </xf>
    <xf numFmtId="0" fontId="59" fillId="0" borderId="0" xfId="5" applyNumberFormat="1" applyFont="1" applyFill="1" applyBorder="1" applyAlignment="1" applyProtection="1">
      <alignment horizontal="left" vertical="center"/>
    </xf>
    <xf numFmtId="166" fontId="0" fillId="0" borderId="38" xfId="0" applyNumberFormat="1" applyBorder="1" applyAlignment="1">
      <alignment horizontal="center" vertical="center"/>
    </xf>
    <xf numFmtId="166" fontId="0" fillId="0" borderId="47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54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53" fillId="0" borderId="0" xfId="3" applyNumberFormat="1" applyFont="1" applyFill="1" applyBorder="1" applyAlignment="1" applyProtection="1">
      <alignment vertical="center"/>
    </xf>
    <xf numFmtId="0" fontId="54" fillId="0" borderId="45" xfId="3" applyNumberFormat="1" applyFont="1" applyFill="1" applyBorder="1" applyAlignment="1" applyProtection="1">
      <alignment horizontal="right" vertical="center"/>
    </xf>
    <xf numFmtId="0" fontId="54" fillId="0" borderId="45" xfId="3" quotePrefix="1" applyNumberFormat="1" applyFont="1" applyFill="1" applyBorder="1" applyAlignment="1" applyProtection="1">
      <alignment vertical="center"/>
    </xf>
    <xf numFmtId="0" fontId="54" fillId="0" borderId="63" xfId="3" applyNumberFormat="1" applyFont="1" applyFill="1" applyBorder="1" applyAlignment="1" applyProtection="1">
      <alignment horizontal="right" vertical="center"/>
    </xf>
    <xf numFmtId="0" fontId="54" fillId="0" borderId="65" xfId="3" quotePrefix="1" applyNumberFormat="1" applyFont="1" applyFill="1" applyBorder="1" applyAlignment="1" applyProtection="1">
      <alignment horizontal="right" vertical="center"/>
    </xf>
    <xf numFmtId="0" fontId="54" fillId="0" borderId="63" xfId="3" quotePrefix="1" applyNumberFormat="1" applyFont="1" applyFill="1" applyBorder="1" applyAlignment="1" applyProtection="1">
      <alignment horizontal="right" vertical="center"/>
    </xf>
    <xf numFmtId="0" fontId="54" fillId="0" borderId="43" xfId="3" quotePrefix="1" applyNumberFormat="1" applyFont="1" applyFill="1" applyBorder="1" applyAlignment="1" applyProtection="1">
      <alignment horizontal="right" vertical="center"/>
    </xf>
    <xf numFmtId="0" fontId="54" fillId="0" borderId="45" xfId="3" quotePrefix="1" applyNumberFormat="1" applyFont="1" applyFill="1" applyBorder="1" applyAlignment="1" applyProtection="1">
      <alignment horizontal="right" vertical="center"/>
    </xf>
    <xf numFmtId="0" fontId="54" fillId="0" borderId="0" xfId="3" quotePrefix="1" applyNumberFormat="1" applyFont="1" applyFill="1" applyBorder="1" applyAlignment="1" applyProtection="1">
      <alignment vertical="center"/>
    </xf>
    <xf numFmtId="166" fontId="54" fillId="0" borderId="30" xfId="3" applyNumberFormat="1" applyFont="1" applyFill="1" applyBorder="1" applyAlignment="1" applyProtection="1">
      <alignment vertical="center" wrapText="1"/>
    </xf>
    <xf numFmtId="0" fontId="58" fillId="0" borderId="0" xfId="3" applyNumberFormat="1" applyFont="1" applyFill="1" applyBorder="1" applyAlignment="1" applyProtection="1">
      <alignment vertical="center"/>
    </xf>
    <xf numFmtId="0" fontId="10" fillId="0" borderId="2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166" fontId="0" fillId="6" borderId="27" xfId="0" applyNumberFormat="1" applyFill="1" applyBorder="1" applyAlignment="1">
      <alignment horizontal="center" vertical="center"/>
    </xf>
    <xf numFmtId="166" fontId="0" fillId="6" borderId="14" xfId="0" applyNumberForma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" fontId="0" fillId="0" borderId="18" xfId="0" applyNumberFormat="1" applyBorder="1"/>
    <xf numFmtId="1" fontId="0" fillId="0" borderId="18" xfId="0" applyNumberFormat="1" applyBorder="1" applyAlignment="1">
      <alignment horizontal="right"/>
    </xf>
    <xf numFmtId="0" fontId="11" fillId="0" borderId="2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0" fillId="0" borderId="63" xfId="0" quotePrefix="1" applyBorder="1" applyAlignment="1">
      <alignment horizontal="center" vertical="center"/>
    </xf>
    <xf numFmtId="0" fontId="0" fillId="0" borderId="45" xfId="0" quotePrefix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10" fillId="0" borderId="0" xfId="0" quotePrefix="1" applyNumberFormat="1" applyFont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49" fontId="10" fillId="0" borderId="14" xfId="0" quotePrefix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/>
    </xf>
    <xf numFmtId="167" fontId="0" fillId="0" borderId="0" xfId="0" applyNumberFormat="1" applyAlignment="1">
      <alignment vertical="center"/>
    </xf>
    <xf numFmtId="0" fontId="0" fillId="0" borderId="30" xfId="0" applyBorder="1" applyAlignment="1">
      <alignment vertical="center"/>
    </xf>
    <xf numFmtId="2" fontId="0" fillId="0" borderId="18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32" fillId="8" borderId="1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0" borderId="22" xfId="0" applyBorder="1"/>
    <xf numFmtId="0" fontId="0" fillId="0" borderId="7" xfId="0" applyBorder="1"/>
    <xf numFmtId="0" fontId="0" fillId="0" borderId="9" xfId="0" applyBorder="1"/>
    <xf numFmtId="2" fontId="0" fillId="0" borderId="23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14" fillId="0" borderId="0" xfId="0" applyNumberFormat="1" applyFont="1"/>
    <xf numFmtId="0" fontId="17" fillId="0" borderId="5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52" fillId="0" borderId="46" xfId="0" applyFont="1" applyBorder="1" applyAlignment="1">
      <alignment horizontal="right" vertical="center"/>
    </xf>
    <xf numFmtId="0" fontId="52" fillId="0" borderId="45" xfId="0" applyFont="1" applyBorder="1" applyAlignment="1">
      <alignment horizontal="center" vertical="center"/>
    </xf>
    <xf numFmtId="0" fontId="52" fillId="0" borderId="43" xfId="0" applyFont="1" applyBorder="1" applyAlignment="1">
      <alignment horizontal="center" vertical="center"/>
    </xf>
    <xf numFmtId="0" fontId="54" fillId="0" borderId="45" xfId="3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wrapText="1"/>
    </xf>
    <xf numFmtId="0" fontId="11" fillId="3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2" fontId="17" fillId="0" borderId="25" xfId="0" applyNumberFormat="1" applyFont="1" applyBorder="1" applyAlignment="1">
      <alignment horizontal="center"/>
    </xf>
    <xf numFmtId="0" fontId="17" fillId="0" borderId="74" xfId="0" applyFont="1" applyBorder="1" applyAlignment="1">
      <alignment horizontal="center"/>
    </xf>
    <xf numFmtId="0" fontId="10" fillId="0" borderId="75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166" fontId="0" fillId="0" borderId="47" xfId="0" applyNumberFormat="1" applyBorder="1" applyAlignment="1">
      <alignment horizontal="center"/>
    </xf>
    <xf numFmtId="0" fontId="17" fillId="0" borderId="19" xfId="0" applyFont="1" applyBorder="1" applyAlignment="1">
      <alignment horizontal="center"/>
    </xf>
    <xf numFmtId="2" fontId="10" fillId="0" borderId="23" xfId="0" applyNumberFormat="1" applyFont="1" applyBorder="1" applyAlignment="1">
      <alignment horizontal="center"/>
    </xf>
    <xf numFmtId="2" fontId="0" fillId="0" borderId="57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2" fontId="19" fillId="0" borderId="40" xfId="0" applyNumberFormat="1" applyFont="1" applyBorder="1" applyAlignment="1">
      <alignment horizontal="center"/>
    </xf>
    <xf numFmtId="166" fontId="0" fillId="0" borderId="54" xfId="0" applyNumberFormat="1" applyBorder="1" applyAlignment="1">
      <alignment horizontal="center"/>
    </xf>
    <xf numFmtId="166" fontId="14" fillId="5" borderId="38" xfId="0" applyNumberFormat="1" applyFont="1" applyFill="1" applyBorder="1" applyAlignment="1">
      <alignment horizontal="center" vertical="center"/>
    </xf>
    <xf numFmtId="166" fontId="33" fillId="0" borderId="54" xfId="0" applyNumberFormat="1" applyFont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33" fillId="0" borderId="8" xfId="0" applyNumberFormat="1" applyFont="1" applyBorder="1" applyAlignment="1">
      <alignment horizontal="center" vertical="center"/>
    </xf>
    <xf numFmtId="166" fontId="33" fillId="0" borderId="38" xfId="0" applyNumberFormat="1" applyFont="1" applyBorder="1" applyAlignment="1">
      <alignment horizontal="center" vertical="center"/>
    </xf>
    <xf numFmtId="166" fontId="33" fillId="0" borderId="1" xfId="0" applyNumberFormat="1" applyFont="1" applyBorder="1" applyAlignment="1">
      <alignment horizontal="center" vertical="center"/>
    </xf>
    <xf numFmtId="0" fontId="62" fillId="3" borderId="0" xfId="0" applyFont="1" applyFill="1" applyAlignment="1">
      <alignment horizontal="center" vertical="top"/>
    </xf>
    <xf numFmtId="0" fontId="19" fillId="0" borderId="0" xfId="0" applyFont="1" applyAlignment="1">
      <alignment horizontal="center"/>
    </xf>
    <xf numFmtId="49" fontId="19" fillId="0" borderId="0" xfId="0" quotePrefix="1" applyNumberFormat="1" applyFont="1" applyAlignment="1">
      <alignment horizontal="center"/>
    </xf>
    <xf numFmtId="0" fontId="10" fillId="0" borderId="70" xfId="0" applyFont="1" applyBorder="1" applyAlignment="1">
      <alignment horizontal="center"/>
    </xf>
    <xf numFmtId="0" fontId="62" fillId="3" borderId="45" xfId="0" applyFont="1" applyFill="1" applyBorder="1" applyAlignment="1">
      <alignment horizontal="center" vertical="top"/>
    </xf>
    <xf numFmtId="0" fontId="19" fillId="0" borderId="45" xfId="0" applyFont="1" applyBorder="1" applyAlignment="1">
      <alignment horizontal="center"/>
    </xf>
    <xf numFmtId="0" fontId="0" fillId="3" borderId="45" xfId="0" applyFill="1" applyBorder="1" applyAlignment="1">
      <alignment horizontal="center"/>
    </xf>
    <xf numFmtId="166" fontId="0" fillId="3" borderId="45" xfId="0" applyNumberFormat="1" applyFill="1" applyBorder="1" applyAlignment="1">
      <alignment horizontal="center"/>
    </xf>
    <xf numFmtId="49" fontId="19" fillId="3" borderId="45" xfId="0" quotePrefix="1" applyNumberFormat="1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62" fillId="3" borderId="46" xfId="0" applyFont="1" applyFill="1" applyBorder="1" applyAlignment="1">
      <alignment horizontal="center" vertical="top"/>
    </xf>
    <xf numFmtId="49" fontId="19" fillId="3" borderId="46" xfId="0" quotePrefix="1" applyNumberFormat="1" applyFont="1" applyFill="1" applyBorder="1" applyAlignment="1">
      <alignment horizontal="center"/>
    </xf>
    <xf numFmtId="49" fontId="19" fillId="0" borderId="46" xfId="0" quotePrefix="1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17" fillId="0" borderId="25" xfId="0" applyFon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19" fillId="0" borderId="3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9" fillId="0" borderId="48" xfId="0" applyFont="1" applyBorder="1" applyAlignment="1">
      <alignment horizontal="center" vertical="center"/>
    </xf>
    <xf numFmtId="169" fontId="0" fillId="0" borderId="48" xfId="0" applyNumberFormat="1" applyBorder="1" applyAlignment="1">
      <alignment horizontal="center" vertical="center"/>
    </xf>
    <xf numFmtId="0" fontId="11" fillId="0" borderId="48" xfId="0" applyFont="1" applyBorder="1" applyAlignment="1">
      <alignment horizontal="left" vertical="center"/>
    </xf>
    <xf numFmtId="0" fontId="42" fillId="0" borderId="25" xfId="0" applyFont="1" applyBorder="1" applyAlignment="1">
      <alignment horizontal="center"/>
    </xf>
    <xf numFmtId="166" fontId="33" fillId="0" borderId="47" xfId="0" applyNumberFormat="1" applyFont="1" applyBorder="1" applyAlignment="1">
      <alignment horizontal="center" vertical="center"/>
    </xf>
    <xf numFmtId="166" fontId="33" fillId="0" borderId="18" xfId="0" applyNumberFormat="1" applyFont="1" applyBorder="1" applyAlignment="1">
      <alignment horizontal="center" vertical="center"/>
    </xf>
    <xf numFmtId="166" fontId="33" fillId="0" borderId="18" xfId="0" applyNumberFormat="1" applyFont="1" applyBorder="1"/>
    <xf numFmtId="2" fontId="10" fillId="0" borderId="42" xfId="0" applyNumberFormat="1" applyFont="1" applyBorder="1" applyAlignment="1">
      <alignment horizontal="center"/>
    </xf>
    <xf numFmtId="2" fontId="17" fillId="0" borderId="52" xfId="0" applyNumberFormat="1" applyFont="1" applyBorder="1" applyAlignment="1">
      <alignment horizontal="center"/>
    </xf>
    <xf numFmtId="166" fontId="17" fillId="0" borderId="67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2" fontId="0" fillId="5" borderId="23" xfId="0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5" fontId="14" fillId="0" borderId="1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0" fillId="0" borderId="14" xfId="0" applyNumberFormat="1" applyBorder="1"/>
    <xf numFmtId="0" fontId="52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2" fillId="0" borderId="0" xfId="0" applyFont="1" applyAlignment="1">
      <alignment horizontal="left" vertical="center"/>
    </xf>
    <xf numFmtId="0" fontId="54" fillId="0" borderId="0" xfId="4" applyFont="1" applyAlignment="1">
      <alignment vertical="center"/>
    </xf>
    <xf numFmtId="0" fontId="54" fillId="0" borderId="0" xfId="4" applyFont="1" applyAlignment="1">
      <alignment horizontal="right" vertical="center"/>
    </xf>
    <xf numFmtId="171" fontId="54" fillId="0" borderId="0" xfId="4" applyNumberFormat="1" applyFont="1" applyAlignment="1">
      <alignment horizontal="right" vertical="center"/>
    </xf>
    <xf numFmtId="166" fontId="54" fillId="0" borderId="0" xfId="4" applyNumberFormat="1" applyFont="1" applyAlignment="1">
      <alignment vertical="center"/>
    </xf>
    <xf numFmtId="2" fontId="54" fillId="0" borderId="0" xfId="4" applyNumberFormat="1" applyFont="1" applyAlignment="1">
      <alignment vertical="center"/>
    </xf>
    <xf numFmtId="171" fontId="54" fillId="0" borderId="0" xfId="4" applyNumberFormat="1" applyFont="1" applyAlignment="1">
      <alignment vertical="center"/>
    </xf>
    <xf numFmtId="0" fontId="52" fillId="0" borderId="0" xfId="0" applyFont="1" applyAlignment="1">
      <alignment horizontal="right" vertical="center"/>
    </xf>
    <xf numFmtId="0" fontId="52" fillId="0" borderId="0" xfId="0" quotePrefix="1" applyFont="1" applyAlignment="1">
      <alignment horizontal="right" vertical="center"/>
    </xf>
    <xf numFmtId="166" fontId="52" fillId="0" borderId="0" xfId="0" applyNumberFormat="1" applyFont="1" applyAlignment="1">
      <alignment horizontal="right" vertical="center"/>
    </xf>
    <xf numFmtId="0" fontId="60" fillId="0" borderId="0" xfId="0" applyFont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2" fontId="0" fillId="0" borderId="22" xfId="0" applyNumberFormat="1" applyBorder="1" applyAlignment="1">
      <alignment horizontal="center" vertical="center"/>
    </xf>
    <xf numFmtId="2" fontId="0" fillId="0" borderId="24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2" fontId="0" fillId="0" borderId="23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2" fontId="0" fillId="0" borderId="57" xfId="0" applyNumberFormat="1" applyBorder="1" applyAlignment="1">
      <alignment horizontal="center" vertical="center"/>
    </xf>
    <xf numFmtId="0" fontId="0" fillId="0" borderId="23" xfId="0" applyBorder="1" applyAlignment="1">
      <alignment vertical="center"/>
    </xf>
    <xf numFmtId="166" fontId="0" fillId="0" borderId="24" xfId="0" applyNumberForma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166" fontId="0" fillId="0" borderId="8" xfId="0" applyNumberForma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0" fontId="0" fillId="0" borderId="49" xfId="0" applyBorder="1" applyAlignment="1">
      <alignment vertical="center"/>
    </xf>
    <xf numFmtId="2" fontId="0" fillId="0" borderId="50" xfId="0" applyNumberFormat="1" applyBorder="1" applyAlignment="1">
      <alignment vertical="center"/>
    </xf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49" fontId="19" fillId="3" borderId="0" xfId="0" quotePrefix="1" applyNumberFormat="1" applyFont="1" applyFill="1" applyAlignment="1">
      <alignment horizontal="center" vertical="center"/>
    </xf>
    <xf numFmtId="0" fontId="0" fillId="3" borderId="47" xfId="0" applyFill="1" applyBorder="1" applyAlignment="1">
      <alignment horizontal="center"/>
    </xf>
    <xf numFmtId="0" fontId="11" fillId="3" borderId="45" xfId="0" applyFont="1" applyFill="1" applyBorder="1" applyAlignment="1">
      <alignment horizontal="center"/>
    </xf>
    <xf numFmtId="0" fontId="0" fillId="3" borderId="47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49" fontId="19" fillId="3" borderId="45" xfId="0" quotePrefix="1" applyNumberFormat="1" applyFont="1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166" fontId="0" fillId="3" borderId="45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0" fillId="0" borderId="0" xfId="0" applyNumberFormat="1" applyFont="1" applyAlignment="1">
      <alignment horizontal="center" wrapText="1"/>
    </xf>
    <xf numFmtId="166" fontId="10" fillId="6" borderId="1" xfId="0" applyNumberFormat="1" applyFont="1" applyFill="1" applyBorder="1" applyAlignment="1">
      <alignment horizontal="center" vertical="center"/>
    </xf>
    <xf numFmtId="0" fontId="54" fillId="0" borderId="0" xfId="0" applyFont="1"/>
    <xf numFmtId="0" fontId="54" fillId="0" borderId="63" xfId="0" quotePrefix="1" applyFont="1" applyBorder="1" applyAlignment="1">
      <alignment vertical="center"/>
    </xf>
    <xf numFmtId="0" fontId="54" fillId="0" borderId="45" xfId="0" quotePrefix="1" applyFont="1" applyBorder="1" applyAlignment="1">
      <alignment vertical="center"/>
    </xf>
    <xf numFmtId="0" fontId="54" fillId="0" borderId="18" xfId="0" applyFont="1" applyBorder="1" applyAlignment="1">
      <alignment vertical="center"/>
    </xf>
    <xf numFmtId="0" fontId="54" fillId="0" borderId="30" xfId="0" applyFont="1" applyBorder="1" applyAlignment="1">
      <alignment vertical="center"/>
    </xf>
    <xf numFmtId="0" fontId="54" fillId="0" borderId="0" xfId="5" applyNumberFormat="1" applyFont="1" applyFill="1" applyBorder="1" applyAlignment="1" applyProtection="1">
      <alignment horizontal="center"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59" fillId="0" borderId="0" xfId="0" applyFont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/>
    </xf>
    <xf numFmtId="0" fontId="11" fillId="3" borderId="46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6" fontId="0" fillId="0" borderId="15" xfId="0" applyNumberFormat="1" applyBorder="1" applyAlignment="1">
      <alignment horizontal="right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0" fillId="0" borderId="58" xfId="0" applyBorder="1" applyAlignment="1">
      <alignment vertical="center"/>
    </xf>
    <xf numFmtId="165" fontId="0" fillId="0" borderId="8" xfId="0" applyNumberFormat="1" applyBorder="1" applyAlignment="1">
      <alignment vertical="center"/>
    </xf>
    <xf numFmtId="165" fontId="0" fillId="0" borderId="54" xfId="0" applyNumberFormat="1" applyBorder="1" applyAlignment="1">
      <alignment vertical="center"/>
    </xf>
    <xf numFmtId="2" fontId="0" fillId="0" borderId="47" xfId="0" applyNumberForma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1" fontId="0" fillId="0" borderId="47" xfId="0" applyNumberFormat="1" applyBorder="1"/>
    <xf numFmtId="0" fontId="11" fillId="0" borderId="65" xfId="0" applyFont="1" applyBorder="1" applyAlignment="1">
      <alignment horizontal="center"/>
    </xf>
    <xf numFmtId="1" fontId="54" fillId="0" borderId="0" xfId="0" applyNumberFormat="1" applyFont="1" applyAlignment="1">
      <alignment vertical="center"/>
    </xf>
    <xf numFmtId="2" fontId="54" fillId="0" borderId="0" xfId="0" applyNumberFormat="1" applyFont="1" applyAlignment="1">
      <alignment vertical="center"/>
    </xf>
    <xf numFmtId="1" fontId="54" fillId="0" borderId="0" xfId="0" applyNumberFormat="1" applyFont="1" applyAlignment="1">
      <alignment horizontal="right" vertical="center"/>
    </xf>
    <xf numFmtId="2" fontId="54" fillId="0" borderId="0" xfId="0" applyNumberFormat="1" applyFont="1" applyAlignment="1">
      <alignment horizontal="right" vertical="center"/>
    </xf>
    <xf numFmtId="166" fontId="54" fillId="0" borderId="0" xfId="0" applyNumberFormat="1" applyFont="1" applyAlignment="1">
      <alignment horizontal="right" vertical="center"/>
    </xf>
    <xf numFmtId="0" fontId="32" fillId="0" borderId="0" xfId="0" applyFont="1"/>
    <xf numFmtId="2" fontId="0" fillId="3" borderId="46" xfId="0" applyNumberFormat="1" applyFill="1" applyBorder="1" applyAlignment="1">
      <alignment horizontal="center"/>
    </xf>
    <xf numFmtId="2" fontId="0" fillId="3" borderId="45" xfId="0" applyNumberFormat="1" applyFill="1" applyBorder="1" applyAlignment="1">
      <alignment horizontal="center"/>
    </xf>
    <xf numFmtId="169" fontId="0" fillId="0" borderId="26" xfId="0" applyNumberFormat="1" applyBorder="1" applyAlignment="1">
      <alignment horizontal="center"/>
    </xf>
    <xf numFmtId="169" fontId="0" fillId="0" borderId="56" xfId="0" applyNumberFormat="1" applyBorder="1" applyAlignment="1">
      <alignment horizontal="center"/>
    </xf>
    <xf numFmtId="169" fontId="0" fillId="0" borderId="57" xfId="0" applyNumberForma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9" fillId="0" borderId="1" xfId="0" applyFont="1" applyBorder="1"/>
    <xf numFmtId="0" fontId="6" fillId="0" borderId="1" xfId="0" applyFont="1" applyBorder="1"/>
    <xf numFmtId="166" fontId="9" fillId="0" borderId="1" xfId="0" applyNumberFormat="1" applyFont="1" applyBorder="1"/>
    <xf numFmtId="1" fontId="0" fillId="0" borderId="18" xfId="0" applyNumberFormat="1" applyBorder="1" applyAlignment="1">
      <alignment horizontal="center" vertical="center"/>
    </xf>
    <xf numFmtId="169" fontId="32" fillId="0" borderId="0" xfId="0" applyNumberFormat="1" applyFont="1"/>
    <xf numFmtId="0" fontId="64" fillId="0" borderId="0" xfId="1" applyNumberFormat="1" applyFont="1" applyFill="1" applyBorder="1" applyAlignment="1" applyProtection="1">
      <alignment vertical="top"/>
    </xf>
    <xf numFmtId="0" fontId="65" fillId="0" borderId="0" xfId="1" applyNumberFormat="1" applyFont="1" applyFill="1" applyBorder="1" applyAlignment="1" applyProtection="1">
      <alignment vertical="top"/>
    </xf>
    <xf numFmtId="166" fontId="33" fillId="0" borderId="1" xfId="0" applyNumberFormat="1" applyFont="1" applyBorder="1" applyAlignment="1">
      <alignment horizontal="center"/>
    </xf>
    <xf numFmtId="166" fontId="33" fillId="0" borderId="18" xfId="0" applyNumberFormat="1" applyFont="1" applyBorder="1" applyAlignment="1">
      <alignment horizontal="center"/>
    </xf>
    <xf numFmtId="0" fontId="52" fillId="0" borderId="43" xfId="0" applyFont="1" applyBorder="1" applyAlignment="1">
      <alignment vertical="center"/>
    </xf>
    <xf numFmtId="166" fontId="0" fillId="0" borderId="3" xfId="0" applyNumberFormat="1" applyBorder="1" applyAlignment="1">
      <alignment horizontal="center" vertical="center"/>
    </xf>
    <xf numFmtId="166" fontId="0" fillId="0" borderId="63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Continuous"/>
    </xf>
    <xf numFmtId="166" fontId="0" fillId="6" borderId="46" xfId="0" applyNumberFormat="1" applyFill="1" applyBorder="1" applyAlignment="1">
      <alignment horizontal="right"/>
    </xf>
    <xf numFmtId="1" fontId="0" fillId="6" borderId="46" xfId="0" applyNumberFormat="1" applyFill="1" applyBorder="1" applyAlignment="1">
      <alignment horizontal="right"/>
    </xf>
    <xf numFmtId="166" fontId="0" fillId="0" borderId="63" xfId="0" applyNumberFormat="1" applyBorder="1" applyAlignment="1">
      <alignment horizontal="right"/>
    </xf>
    <xf numFmtId="166" fontId="0" fillId="0" borderId="30" xfId="0" applyNumberFormat="1" applyBorder="1" applyAlignment="1">
      <alignment horizontal="right"/>
    </xf>
    <xf numFmtId="2" fontId="0" fillId="0" borderId="45" xfId="0" applyNumberFormat="1" applyBorder="1"/>
    <xf numFmtId="2" fontId="0" fillId="9" borderId="20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6" fontId="0" fillId="9" borderId="8" xfId="0" applyNumberFormat="1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2" fontId="0" fillId="9" borderId="8" xfId="0" applyNumberFormat="1" applyFill="1" applyBorder="1" applyAlignment="1">
      <alignment horizontal="center" vertical="center"/>
    </xf>
    <xf numFmtId="169" fontId="0" fillId="9" borderId="20" xfId="0" applyNumberFormat="1" applyFill="1" applyBorder="1" applyAlignment="1">
      <alignment horizontal="center" vertical="center"/>
    </xf>
    <xf numFmtId="2" fontId="0" fillId="9" borderId="21" xfId="0" applyNumberForma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66" fontId="0" fillId="9" borderId="11" xfId="0" applyNumberFormat="1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2" fontId="0" fillId="9" borderId="11" xfId="0" applyNumberFormat="1" applyFill="1" applyBorder="1" applyAlignment="1">
      <alignment horizontal="center" vertical="center"/>
    </xf>
    <xf numFmtId="169" fontId="0" fillId="9" borderId="21" xfId="0" applyNumberFormat="1" applyFill="1" applyBorder="1" applyAlignment="1">
      <alignment horizontal="center" vertical="center"/>
    </xf>
    <xf numFmtId="165" fontId="0" fillId="9" borderId="38" xfId="0" applyNumberFormat="1" applyFill="1" applyBorder="1" applyAlignment="1">
      <alignment horizontal="center" vertical="center"/>
    </xf>
    <xf numFmtId="11" fontId="0" fillId="9" borderId="54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1" fontId="0" fillId="9" borderId="8" xfId="0" applyNumberFormat="1" applyFill="1" applyBorder="1" applyAlignment="1">
      <alignment horizontal="center" vertical="center"/>
    </xf>
    <xf numFmtId="165" fontId="0" fillId="9" borderId="10" xfId="0" applyNumberFormat="1" applyFill="1" applyBorder="1" applyAlignment="1">
      <alignment horizontal="center" vertical="center"/>
    </xf>
    <xf numFmtId="11" fontId="0" fillId="9" borderId="11" xfId="0" applyNumberFormat="1" applyFill="1" applyBorder="1" applyAlignment="1">
      <alignment horizontal="center" vertical="center"/>
    </xf>
    <xf numFmtId="2" fontId="0" fillId="9" borderId="47" xfId="0" applyNumberFormat="1" applyFill="1" applyBorder="1" applyAlignment="1">
      <alignment horizontal="center" vertical="center"/>
    </xf>
    <xf numFmtId="170" fontId="0" fillId="9" borderId="54" xfId="0" applyNumberFormat="1" applyFill="1" applyBorder="1" applyAlignment="1">
      <alignment horizontal="center" vertical="center"/>
    </xf>
    <xf numFmtId="2" fontId="0" fillId="9" borderId="18" xfId="0" applyNumberFormat="1" applyFill="1" applyBorder="1" applyAlignment="1">
      <alignment horizontal="center" vertical="center"/>
    </xf>
    <xf numFmtId="170" fontId="0" fillId="9" borderId="8" xfId="0" applyNumberFormat="1" applyFill="1" applyBorder="1" applyAlignment="1">
      <alignment horizontal="center" vertical="center"/>
    </xf>
    <xf numFmtId="2" fontId="0" fillId="9" borderId="29" xfId="0" applyNumberFormat="1" applyFill="1" applyBorder="1" applyAlignment="1">
      <alignment horizontal="center" vertical="center"/>
    </xf>
    <xf numFmtId="170" fontId="0" fillId="9" borderId="11" xfId="0" applyNumberFormat="1" applyFill="1" applyBorder="1" applyAlignment="1">
      <alignment horizontal="center" vertical="center"/>
    </xf>
    <xf numFmtId="169" fontId="0" fillId="9" borderId="32" xfId="0" applyNumberFormat="1" applyFill="1" applyBorder="1" applyAlignment="1">
      <alignment horizontal="center" vertical="center"/>
    </xf>
    <xf numFmtId="0" fontId="10" fillId="6" borderId="0" xfId="0" quotePrefix="1" applyFont="1" applyFill="1" applyAlignment="1">
      <alignment horizontal="center"/>
    </xf>
    <xf numFmtId="169" fontId="22" fillId="6" borderId="51" xfId="0" applyNumberFormat="1" applyFont="1" applyFill="1" applyBorder="1" applyAlignment="1">
      <alignment horizontal="center" vertical="center"/>
    </xf>
    <xf numFmtId="169" fontId="10" fillId="6" borderId="51" xfId="0" applyNumberFormat="1" applyFont="1" applyFill="1" applyBorder="1" applyAlignment="1">
      <alignment horizontal="center" vertical="center"/>
    </xf>
    <xf numFmtId="169" fontId="10" fillId="6" borderId="36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49" fontId="11" fillId="6" borderId="27" xfId="0" quotePrefix="1" applyNumberFormat="1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49" fontId="11" fillId="6" borderId="26" xfId="0" quotePrefix="1" applyNumberFormat="1" applyFont="1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11" fillId="6" borderId="46" xfId="0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49" fontId="11" fillId="6" borderId="46" xfId="0" quotePrefix="1" applyNumberFormat="1" applyFont="1" applyFill="1" applyBorder="1" applyAlignment="1">
      <alignment horizontal="center" vertical="center"/>
    </xf>
    <xf numFmtId="49" fontId="11" fillId="6" borderId="56" xfId="0" quotePrefix="1" applyNumberFormat="1" applyFont="1" applyFill="1" applyBorder="1" applyAlignment="1">
      <alignment horizontal="center" vertical="center"/>
    </xf>
    <xf numFmtId="0" fontId="11" fillId="6" borderId="48" xfId="0" applyFont="1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49" fontId="11" fillId="6" borderId="48" xfId="0" quotePrefix="1" applyNumberFormat="1" applyFont="1" applyFill="1" applyBorder="1" applyAlignment="1">
      <alignment horizontal="center" vertical="center"/>
    </xf>
    <xf numFmtId="49" fontId="11" fillId="6" borderId="57" xfId="0" quotePrefix="1" applyNumberFormat="1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/>
    </xf>
    <xf numFmtId="0" fontId="53" fillId="0" borderId="0" xfId="3" applyNumberFormat="1" applyFont="1" applyFill="1" applyBorder="1" applyAlignment="1" applyProtection="1">
      <alignment horizontal="center" vertical="center"/>
    </xf>
    <xf numFmtId="166" fontId="54" fillId="0" borderId="18" xfId="3" applyNumberFormat="1" applyFont="1" applyFill="1" applyBorder="1" applyAlignment="1" applyProtection="1">
      <alignment horizontal="center" vertical="center" wrapText="1"/>
    </xf>
    <xf numFmtId="166" fontId="54" fillId="0" borderId="46" xfId="3" applyNumberFormat="1" applyFont="1" applyFill="1" applyBorder="1" applyAlignment="1" applyProtection="1">
      <alignment horizontal="center" vertical="center" wrapText="1"/>
    </xf>
    <xf numFmtId="0" fontId="54" fillId="0" borderId="18" xfId="3" applyNumberFormat="1" applyFont="1" applyFill="1" applyBorder="1" applyAlignment="1" applyProtection="1">
      <alignment horizontal="center" vertical="center"/>
    </xf>
    <xf numFmtId="0" fontId="54" fillId="0" borderId="46" xfId="3" applyNumberFormat="1" applyFont="1" applyFill="1" applyBorder="1" applyAlignment="1" applyProtection="1">
      <alignment horizontal="center" vertical="center"/>
    </xf>
    <xf numFmtId="0" fontId="54" fillId="0" borderId="30" xfId="3" applyNumberFormat="1" applyFont="1" applyFill="1" applyBorder="1" applyAlignment="1" applyProtection="1">
      <alignment horizontal="center" vertical="center"/>
    </xf>
    <xf numFmtId="0" fontId="54" fillId="0" borderId="47" xfId="3" applyNumberFormat="1" applyFont="1" applyFill="1" applyBorder="1" applyAlignment="1" applyProtection="1">
      <alignment horizontal="right" vertical="center"/>
    </xf>
    <xf numFmtId="0" fontId="54" fillId="0" borderId="45" xfId="3" applyNumberFormat="1" applyFont="1" applyFill="1" applyBorder="1" applyAlignment="1" applyProtection="1">
      <alignment horizontal="right" vertical="center"/>
    </xf>
    <xf numFmtId="0" fontId="52" fillId="0" borderId="47" xfId="0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/>
    </xf>
    <xf numFmtId="0" fontId="54" fillId="0" borderId="45" xfId="3" applyNumberFormat="1" applyFont="1" applyFill="1" applyBorder="1" applyAlignment="1" applyProtection="1">
      <alignment horizontal="center" vertical="center"/>
    </xf>
    <xf numFmtId="0" fontId="52" fillId="0" borderId="62" xfId="0" applyFont="1" applyBorder="1" applyAlignment="1">
      <alignment horizontal="right" vertical="center"/>
    </xf>
    <xf numFmtId="0" fontId="52" fillId="0" borderId="63" xfId="0" applyFont="1" applyBorder="1" applyAlignment="1">
      <alignment horizontal="right" vertical="center"/>
    </xf>
    <xf numFmtId="166" fontId="52" fillId="0" borderId="63" xfId="0" applyNumberFormat="1" applyFont="1" applyBorder="1" applyAlignment="1">
      <alignment horizontal="right" vertical="center"/>
    </xf>
    <xf numFmtId="0" fontId="52" fillId="0" borderId="1" xfId="0" applyFont="1" applyBorder="1" applyAlignment="1">
      <alignment horizontal="center" vertical="center"/>
    </xf>
    <xf numFmtId="0" fontId="52" fillId="0" borderId="45" xfId="0" applyFont="1" applyBorder="1" applyAlignment="1">
      <alignment horizontal="right" vertical="center"/>
    </xf>
    <xf numFmtId="166" fontId="52" fillId="0" borderId="45" xfId="0" applyNumberFormat="1" applyFont="1" applyBorder="1" applyAlignment="1">
      <alignment horizontal="right" vertical="center"/>
    </xf>
    <xf numFmtId="0" fontId="52" fillId="0" borderId="47" xfId="0" applyFont="1" applyBorder="1" applyAlignment="1">
      <alignment horizontal="right" vertical="center"/>
    </xf>
    <xf numFmtId="0" fontId="52" fillId="0" borderId="1" xfId="0" applyFont="1" applyBorder="1" applyAlignment="1">
      <alignment horizontal="center" vertical="center" wrapText="1"/>
    </xf>
    <xf numFmtId="0" fontId="52" fillId="0" borderId="38" xfId="0" applyFont="1" applyBorder="1" applyAlignment="1">
      <alignment horizontal="center" vertical="center"/>
    </xf>
    <xf numFmtId="0" fontId="52" fillId="0" borderId="62" xfId="0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52" fillId="0" borderId="47" xfId="0" applyFont="1" applyBorder="1" applyAlignment="1">
      <alignment horizontal="center" vertical="center" wrapText="1"/>
    </xf>
    <xf numFmtId="0" fontId="52" fillId="0" borderId="45" xfId="0" applyFont="1" applyBorder="1" applyAlignment="1">
      <alignment horizontal="center" vertical="center" wrapText="1"/>
    </xf>
    <xf numFmtId="166" fontId="52" fillId="0" borderId="0" xfId="0" applyNumberFormat="1" applyFont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63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61" xfId="0" applyFont="1" applyBorder="1" applyAlignment="1">
      <alignment horizontal="center" vertical="center"/>
    </xf>
    <xf numFmtId="0" fontId="54" fillId="0" borderId="47" xfId="3" applyNumberFormat="1" applyFont="1" applyFill="1" applyBorder="1" applyAlignment="1" applyProtection="1">
      <alignment horizontal="center" vertical="center"/>
    </xf>
    <xf numFmtId="166" fontId="54" fillId="0" borderId="45" xfId="3" applyNumberFormat="1" applyFont="1" applyFill="1" applyBorder="1" applyAlignment="1" applyProtection="1">
      <alignment horizontal="center" vertical="center"/>
    </xf>
    <xf numFmtId="0" fontId="52" fillId="0" borderId="65" xfId="0" applyFont="1" applyBorder="1" applyAlignment="1">
      <alignment horizontal="center" vertical="center"/>
    </xf>
    <xf numFmtId="0" fontId="52" fillId="0" borderId="62" xfId="0" applyFont="1" applyBorder="1" applyAlignment="1">
      <alignment horizontal="center" vertical="center"/>
    </xf>
    <xf numFmtId="166" fontId="54" fillId="0" borderId="45" xfId="3" applyNumberFormat="1" applyFont="1" applyFill="1" applyBorder="1" applyAlignment="1" applyProtection="1">
      <alignment horizontal="left" vertical="center"/>
    </xf>
    <xf numFmtId="0" fontId="54" fillId="0" borderId="45" xfId="3" applyNumberFormat="1" applyFont="1" applyFill="1" applyBorder="1" applyAlignment="1" applyProtection="1">
      <alignment horizontal="left" vertical="center"/>
    </xf>
    <xf numFmtId="0" fontId="54" fillId="0" borderId="61" xfId="3" applyNumberFormat="1" applyFont="1" applyFill="1" applyBorder="1" applyAlignment="1" applyProtection="1">
      <alignment horizontal="center" vertical="center"/>
    </xf>
    <xf numFmtId="0" fontId="54" fillId="0" borderId="47" xfId="3" applyNumberFormat="1" applyFont="1" applyFill="1" applyBorder="1" applyAlignment="1" applyProtection="1">
      <alignment horizontal="left" vertical="center" wrapText="1"/>
    </xf>
    <xf numFmtId="0" fontId="54" fillId="0" borderId="45" xfId="3" applyNumberFormat="1" applyFont="1" applyFill="1" applyBorder="1" applyAlignment="1" applyProtection="1">
      <alignment horizontal="left" vertical="center" wrapText="1"/>
    </xf>
    <xf numFmtId="166" fontId="54" fillId="0" borderId="45" xfId="3" applyNumberFormat="1" applyFont="1" applyFill="1" applyBorder="1" applyAlignment="1" applyProtection="1">
      <alignment horizontal="left" vertical="center" wrapText="1"/>
    </xf>
    <xf numFmtId="0" fontId="54" fillId="0" borderId="47" xfId="3" applyNumberFormat="1" applyFont="1" applyFill="1" applyBorder="1" applyAlignment="1" applyProtection="1">
      <alignment horizontal="left" vertical="center"/>
    </xf>
    <xf numFmtId="166" fontId="52" fillId="0" borderId="63" xfId="0" applyNumberFormat="1" applyFont="1" applyBorder="1" applyAlignment="1">
      <alignment horizontal="center" vertical="center"/>
    </xf>
    <xf numFmtId="166" fontId="52" fillId="0" borderId="45" xfId="0" applyNumberFormat="1" applyFont="1" applyBorder="1" applyAlignment="1">
      <alignment horizontal="center" vertical="center"/>
    </xf>
    <xf numFmtId="0" fontId="52" fillId="0" borderId="43" xfId="0" applyFont="1" applyBorder="1" applyAlignment="1">
      <alignment horizontal="center" vertical="center"/>
    </xf>
    <xf numFmtId="166" fontId="54" fillId="0" borderId="45" xfId="0" applyNumberFormat="1" applyFont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0" borderId="43" xfId="0" applyFont="1" applyBorder="1" applyAlignment="1">
      <alignment horizontal="center" vertical="center"/>
    </xf>
    <xf numFmtId="0" fontId="54" fillId="0" borderId="18" xfId="3" applyNumberFormat="1" applyFont="1" applyFill="1" applyBorder="1" applyAlignment="1" applyProtection="1">
      <alignment horizontal="center" vertical="center" wrapText="1"/>
    </xf>
    <xf numFmtId="0" fontId="54" fillId="0" borderId="46" xfId="3" applyNumberFormat="1" applyFont="1" applyFill="1" applyBorder="1" applyAlignment="1" applyProtection="1">
      <alignment horizontal="center" vertical="center" wrapText="1"/>
    </xf>
    <xf numFmtId="0" fontId="54" fillId="0" borderId="30" xfId="3" applyNumberFormat="1" applyFont="1" applyFill="1" applyBorder="1" applyAlignment="1" applyProtection="1">
      <alignment horizontal="center" vertical="center" wrapText="1"/>
    </xf>
    <xf numFmtId="0" fontId="55" fillId="0" borderId="61" xfId="3" applyNumberFormat="1" applyFont="1" applyFill="1" applyBorder="1" applyAlignment="1" applyProtection="1">
      <alignment horizontal="center" vertical="center"/>
    </xf>
    <xf numFmtId="166" fontId="54" fillId="0" borderId="30" xfId="3" quotePrefix="1" applyNumberFormat="1" applyFont="1" applyFill="1" applyBorder="1" applyAlignment="1" applyProtection="1">
      <alignment horizontal="center" vertical="center" wrapText="1"/>
    </xf>
    <xf numFmtId="166" fontId="54" fillId="0" borderId="1" xfId="3" applyNumberFormat="1" applyFont="1" applyFill="1" applyBorder="1" applyAlignment="1" applyProtection="1">
      <alignment horizontal="center" vertical="center" wrapText="1"/>
    </xf>
    <xf numFmtId="166" fontId="54" fillId="0" borderId="1" xfId="3" quotePrefix="1" applyNumberFormat="1" applyFont="1" applyFill="1" applyBorder="1" applyAlignment="1" applyProtection="1">
      <alignment horizontal="center" vertical="center" wrapText="1"/>
    </xf>
    <xf numFmtId="166" fontId="54" fillId="0" borderId="63" xfId="0" applyNumberFormat="1" applyFont="1" applyBorder="1" applyAlignment="1">
      <alignment horizontal="center" vertical="center"/>
    </xf>
    <xf numFmtId="0" fontId="54" fillId="0" borderId="63" xfId="0" applyFont="1" applyBorder="1" applyAlignment="1">
      <alignment horizontal="center" vertical="center"/>
    </xf>
    <xf numFmtId="0" fontId="54" fillId="0" borderId="65" xfId="0" applyFont="1" applyBorder="1" applyAlignment="1">
      <alignment horizontal="center" vertical="center"/>
    </xf>
    <xf numFmtId="0" fontId="54" fillId="0" borderId="1" xfId="3" applyNumberFormat="1" applyFont="1" applyFill="1" applyBorder="1" applyAlignment="1" applyProtection="1">
      <alignment horizontal="center" vertical="center"/>
    </xf>
    <xf numFmtId="0" fontId="52" fillId="0" borderId="18" xfId="0" applyFont="1" applyBorder="1" applyAlignment="1">
      <alignment horizontal="right" vertical="center"/>
    </xf>
    <xf numFmtId="0" fontId="52" fillId="0" borderId="46" xfId="0" applyFont="1" applyBorder="1" applyAlignment="1">
      <alignment horizontal="right" vertical="center"/>
    </xf>
    <xf numFmtId="166" fontId="52" fillId="0" borderId="46" xfId="0" applyNumberFormat="1" applyFont="1" applyBorder="1" applyAlignment="1">
      <alignment horizontal="right" vertical="center"/>
    </xf>
    <xf numFmtId="171" fontId="54" fillId="0" borderId="18" xfId="4" applyNumberFormat="1" applyFont="1" applyBorder="1" applyAlignment="1">
      <alignment horizontal="center" vertical="center"/>
    </xf>
    <xf numFmtId="171" fontId="54" fillId="0" borderId="46" xfId="4" applyNumberFormat="1" applyFont="1" applyBorder="1" applyAlignment="1">
      <alignment horizontal="center" vertical="center"/>
    </xf>
    <xf numFmtId="171" fontId="54" fillId="0" borderId="30" xfId="4" applyNumberFormat="1" applyFont="1" applyBorder="1" applyAlignment="1">
      <alignment horizontal="center" vertical="center"/>
    </xf>
    <xf numFmtId="166" fontId="54" fillId="0" borderId="30" xfId="3" applyNumberFormat="1" applyFont="1" applyFill="1" applyBorder="1" applyAlignment="1" applyProtection="1">
      <alignment horizontal="center" vertical="center" wrapText="1"/>
    </xf>
    <xf numFmtId="1" fontId="52" fillId="0" borderId="18" xfId="0" applyNumberFormat="1" applyFont="1" applyBorder="1" applyAlignment="1">
      <alignment horizontal="right" vertical="center"/>
    </xf>
    <xf numFmtId="1" fontId="52" fillId="0" borderId="46" xfId="0" applyNumberFormat="1" applyFont="1" applyBorder="1" applyAlignment="1">
      <alignment horizontal="right" vertical="center"/>
    </xf>
    <xf numFmtId="171" fontId="54" fillId="0" borderId="47" xfId="4" applyNumberFormat="1" applyFont="1" applyBorder="1" applyAlignment="1">
      <alignment horizontal="center" vertical="center"/>
    </xf>
    <xf numFmtId="171" fontId="54" fillId="0" borderId="45" xfId="4" applyNumberFormat="1" applyFont="1" applyBorder="1" applyAlignment="1">
      <alignment horizontal="center" vertical="center"/>
    </xf>
    <xf numFmtId="171" fontId="54" fillId="0" borderId="43" xfId="4" applyNumberFormat="1" applyFont="1" applyBorder="1" applyAlignment="1">
      <alignment horizontal="center" vertical="center"/>
    </xf>
    <xf numFmtId="166" fontId="54" fillId="0" borderId="65" xfId="3" quotePrefix="1" applyNumberFormat="1" applyFont="1" applyFill="1" applyBorder="1" applyAlignment="1" applyProtection="1">
      <alignment horizontal="center" vertical="center" wrapText="1"/>
    </xf>
    <xf numFmtId="166" fontId="54" fillId="0" borderId="61" xfId="3" applyNumberFormat="1" applyFont="1" applyFill="1" applyBorder="1" applyAlignment="1" applyProtection="1">
      <alignment horizontal="center" vertical="center" wrapText="1"/>
    </xf>
    <xf numFmtId="166" fontId="54" fillId="0" borderId="61" xfId="3" quotePrefix="1" applyNumberFormat="1" applyFont="1" applyFill="1" applyBorder="1" applyAlignment="1" applyProtection="1">
      <alignment horizontal="center" vertical="center" wrapText="1"/>
    </xf>
    <xf numFmtId="0" fontId="52" fillId="0" borderId="7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10" fillId="9" borderId="0" xfId="0" quotePrefix="1" applyFont="1" applyFill="1" applyAlignment="1">
      <alignment horizontal="center"/>
    </xf>
    <xf numFmtId="166" fontId="0" fillId="6" borderId="36" xfId="0" applyNumberFormat="1" applyFill="1" applyBorder="1" applyAlignment="1">
      <alignment horizontal="center" vertical="center"/>
    </xf>
    <xf numFmtId="166" fontId="0" fillId="6" borderId="17" xfId="0" applyNumberFormat="1" applyFill="1" applyBorder="1" applyAlignment="1">
      <alignment horizontal="center" vertical="center"/>
    </xf>
    <xf numFmtId="166" fontId="0" fillId="6" borderId="16" xfId="0" applyNumberFormat="1" applyFill="1" applyBorder="1" applyAlignment="1">
      <alignment horizontal="center" vertical="center"/>
    </xf>
    <xf numFmtId="0" fontId="17" fillId="0" borderId="49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7" fillId="0" borderId="61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7" fillId="0" borderId="62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46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0" borderId="47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1" fillId="0" borderId="4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0" xfId="0" applyBorder="1" applyAlignment="1">
      <alignment horizontal="center"/>
    </xf>
    <xf numFmtId="0" fontId="10" fillId="0" borderId="61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19" fillId="0" borderId="46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8" xfId="0" applyNumberFormat="1" applyBorder="1" applyAlignment="1">
      <alignment horizontal="center"/>
    </xf>
    <xf numFmtId="166" fontId="0" fillId="0" borderId="46" xfId="0" applyNumberFormat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0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73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3" borderId="62" xfId="0" applyFont="1" applyFill="1" applyBorder="1" applyAlignment="1">
      <alignment horizontal="center" vertical="center"/>
    </xf>
    <xf numFmtId="0" fontId="11" fillId="3" borderId="63" xfId="0" applyFont="1" applyFill="1" applyBorder="1" applyAlignment="1">
      <alignment horizontal="center" vertical="center"/>
    </xf>
    <xf numFmtId="0" fontId="11" fillId="3" borderId="65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50" fillId="6" borderId="47" xfId="0" applyFont="1" applyFill="1" applyBorder="1" applyAlignment="1">
      <alignment horizontal="center"/>
    </xf>
    <xf numFmtId="0" fontId="50" fillId="6" borderId="45" xfId="0" applyFont="1" applyFill="1" applyBorder="1" applyAlignment="1">
      <alignment horizontal="center"/>
    </xf>
    <xf numFmtId="0" fontId="50" fillId="6" borderId="43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</cellXfs>
  <cellStyles count="6">
    <cellStyle name="Обычный" xfId="0" builtinId="0"/>
    <cellStyle name="Обычный 2" xfId="4" xr:uid="{00000000-0005-0000-0000-000001000000}"/>
    <cellStyle name="Обычный_Sheet1" xfId="3" xr:uid="{00000000-0005-0000-0000-000002000000}"/>
    <cellStyle name="Обычный_Лист1 2" xfId="5" xr:uid="{00000000-0005-0000-0000-000004000000}"/>
    <cellStyle name="Обычный_ЛР 1" xfId="1" xr:uid="{00000000-0005-0000-0000-000005000000}"/>
    <cellStyle name="Обычный_ЛР 15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'ЛР 2'!$M$8:$M$16</c:f>
              <c:numCache>
                <c:formatCode>General</c:formatCode>
                <c:ptCount val="9"/>
                <c:pt idx="0">
                  <c:v>50.05</c:v>
                </c:pt>
                <c:pt idx="1">
                  <c:v>50.150000000000006</c:v>
                </c:pt>
                <c:pt idx="2">
                  <c:v>50.25</c:v>
                </c:pt>
                <c:pt idx="3">
                  <c:v>50.350000000000009</c:v>
                </c:pt>
                <c:pt idx="4">
                  <c:v>50.45</c:v>
                </c:pt>
                <c:pt idx="5">
                  <c:v>50.550000000000011</c:v>
                </c:pt>
                <c:pt idx="6">
                  <c:v>50.650000000000006</c:v>
                </c:pt>
                <c:pt idx="7">
                  <c:v>50.750000000000014</c:v>
                </c:pt>
                <c:pt idx="8">
                  <c:v>50.850000000000009</c:v>
                </c:pt>
              </c:numCache>
            </c:numRef>
          </c:cat>
          <c:val>
            <c:numRef>
              <c:f>'ЛР 2'!$P$8:$P$16</c:f>
              <c:numCache>
                <c:formatCode>General</c:formatCode>
                <c:ptCount val="9"/>
                <c:pt idx="0">
                  <c:v>4.5945945945945948E-2</c:v>
                </c:pt>
                <c:pt idx="1">
                  <c:v>7.0270270270270274E-2</c:v>
                </c:pt>
                <c:pt idx="2">
                  <c:v>0.11891891891891893</c:v>
                </c:pt>
                <c:pt idx="3">
                  <c:v>0.16486486486486487</c:v>
                </c:pt>
                <c:pt idx="4">
                  <c:v>0.1891891891891892</c:v>
                </c:pt>
                <c:pt idx="5">
                  <c:v>0.16756756756756758</c:v>
                </c:pt>
                <c:pt idx="6">
                  <c:v>0.12162162162162163</c:v>
                </c:pt>
                <c:pt idx="7">
                  <c:v>7.2972972972972977E-2</c:v>
                </c:pt>
                <c:pt idx="8">
                  <c:v>4.8648648648648651E-2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7-4CE7-8C9B-637668A7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45353800"/>
        <c:axId val="44535412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'ЛР 2'!$M$8:$M$16</c:f>
              <c:numCache>
                <c:formatCode>General</c:formatCode>
                <c:ptCount val="9"/>
                <c:pt idx="0">
                  <c:v>50.05</c:v>
                </c:pt>
                <c:pt idx="1">
                  <c:v>50.150000000000006</c:v>
                </c:pt>
                <c:pt idx="2">
                  <c:v>50.25</c:v>
                </c:pt>
                <c:pt idx="3">
                  <c:v>50.350000000000009</c:v>
                </c:pt>
                <c:pt idx="4">
                  <c:v>50.45</c:v>
                </c:pt>
                <c:pt idx="5">
                  <c:v>50.550000000000011</c:v>
                </c:pt>
                <c:pt idx="6">
                  <c:v>50.650000000000006</c:v>
                </c:pt>
                <c:pt idx="7">
                  <c:v>50.750000000000014</c:v>
                </c:pt>
                <c:pt idx="8">
                  <c:v>50.850000000000009</c:v>
                </c:pt>
              </c:numCache>
            </c:numRef>
          </c:cat>
          <c:val>
            <c:numRef>
              <c:f>'ЛР 2'!$P$8:$P$16</c:f>
              <c:numCache>
                <c:formatCode>General</c:formatCode>
                <c:ptCount val="9"/>
                <c:pt idx="0">
                  <c:v>4.5945945945945948E-2</c:v>
                </c:pt>
                <c:pt idx="1">
                  <c:v>7.0270270270270274E-2</c:v>
                </c:pt>
                <c:pt idx="2">
                  <c:v>0.11891891891891893</c:v>
                </c:pt>
                <c:pt idx="3">
                  <c:v>0.16486486486486487</c:v>
                </c:pt>
                <c:pt idx="4">
                  <c:v>0.1891891891891892</c:v>
                </c:pt>
                <c:pt idx="5">
                  <c:v>0.16756756756756758</c:v>
                </c:pt>
                <c:pt idx="6">
                  <c:v>0.12162162162162163</c:v>
                </c:pt>
                <c:pt idx="7">
                  <c:v>7.2972972972972977E-2</c:v>
                </c:pt>
                <c:pt idx="8">
                  <c:v>4.8648648648648651E-2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6-4F5A-84DD-B384317C9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353800"/>
        <c:axId val="445354128"/>
      </c:lineChart>
      <c:catAx>
        <c:axId val="44535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354128"/>
        <c:crosses val="autoZero"/>
        <c:auto val="1"/>
        <c:lblAlgn val="ctr"/>
        <c:lblOffset val="100"/>
        <c:noMultiLvlLbl val="0"/>
      </c:catAx>
      <c:valAx>
        <c:axId val="44535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35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и полигон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1664260717410319E-2"/>
          <c:y val="0.1902314814814815"/>
          <c:w val="0.8617386264216973"/>
          <c:h val="0.7208876494604841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45350520"/>
        <c:axId val="445351176"/>
      </c:scatterChart>
      <c:valAx>
        <c:axId val="44535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351176"/>
        <c:crosses val="autoZero"/>
        <c:crossBetween val="midCat"/>
      </c:valAx>
      <c:valAx>
        <c:axId val="445351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5350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Стандартное нормальное распределение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'ЛР 2'!$T$8:$T$16</c:f>
              <c:numCache>
                <c:formatCode>0.000</c:formatCode>
                <c:ptCount val="9"/>
                <c:pt idx="0">
                  <c:v>-0.40270270270271169</c:v>
                </c:pt>
                <c:pt idx="1">
                  <c:v>-0.30270270270270316</c:v>
                </c:pt>
                <c:pt idx="2">
                  <c:v>-0.20270270270270885</c:v>
                </c:pt>
                <c:pt idx="3">
                  <c:v>-0.10270270270270032</c:v>
                </c:pt>
                <c:pt idx="4">
                  <c:v>-2.7027027027060058E-3</c:v>
                </c:pt>
                <c:pt idx="5">
                  <c:v>9.7297297297302521E-2</c:v>
                </c:pt>
                <c:pt idx="6">
                  <c:v>0.19729729729729684</c:v>
                </c:pt>
                <c:pt idx="7">
                  <c:v>0.29729729729730536</c:v>
                </c:pt>
                <c:pt idx="8">
                  <c:v>0.39729729729729968</c:v>
                </c:pt>
              </c:numCache>
            </c:numRef>
          </c:xVal>
          <c:yVal>
            <c:numRef>
              <c:f>'ЛР 2'!$Z$8:$Z$16</c:f>
              <c:numCache>
                <c:formatCode>0.000</c:formatCode>
                <c:ptCount val="9"/>
                <c:pt idx="0">
                  <c:v>5.5264498071333545E-2</c:v>
                </c:pt>
                <c:pt idx="1">
                  <c:v>0.13072581953282084</c:v>
                </c:pt>
                <c:pt idx="2">
                  <c:v>0.2422491495959892</c:v>
                </c:pt>
                <c:pt idx="3">
                  <c:v>0.35168099057623731</c:v>
                </c:pt>
                <c:pt idx="4">
                  <c:v>0.39996433952342131</c:v>
                </c:pt>
                <c:pt idx="5">
                  <c:v>0.35635215894492839</c:v>
                </c:pt>
                <c:pt idx="6">
                  <c:v>0.24872718900904225</c:v>
                </c:pt>
                <c:pt idx="7">
                  <c:v>0.13600437342276636</c:v>
                </c:pt>
                <c:pt idx="8">
                  <c:v>5.8259698274539133E-2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51-48DD-A824-ECF06EAC86A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'ЛР 2'!$T$8:$T$16</c:f>
              <c:numCache>
                <c:formatCode>0.000</c:formatCode>
                <c:ptCount val="9"/>
                <c:pt idx="0">
                  <c:v>-0.40270270270271169</c:v>
                </c:pt>
                <c:pt idx="1">
                  <c:v>-0.30270270270270316</c:v>
                </c:pt>
                <c:pt idx="2">
                  <c:v>-0.20270270270270885</c:v>
                </c:pt>
                <c:pt idx="3">
                  <c:v>-0.10270270270270032</c:v>
                </c:pt>
                <c:pt idx="4">
                  <c:v>-2.7027027027060058E-3</c:v>
                </c:pt>
                <c:pt idx="5">
                  <c:v>9.7297297297302521E-2</c:v>
                </c:pt>
                <c:pt idx="6">
                  <c:v>0.19729729729729684</c:v>
                </c:pt>
                <c:pt idx="7">
                  <c:v>0.29729729729730536</c:v>
                </c:pt>
                <c:pt idx="8">
                  <c:v>0.39729729729729968</c:v>
                </c:pt>
              </c:numCache>
            </c:numRef>
          </c:xVal>
          <c:yVal>
            <c:numRef>
              <c:f>'ЛР 2'!$P$8:$P$16</c:f>
              <c:numCache>
                <c:formatCode>General</c:formatCode>
                <c:ptCount val="9"/>
                <c:pt idx="0">
                  <c:v>4.5945945945945948E-2</c:v>
                </c:pt>
                <c:pt idx="1">
                  <c:v>7.0270270270270274E-2</c:v>
                </c:pt>
                <c:pt idx="2">
                  <c:v>0.11891891891891893</c:v>
                </c:pt>
                <c:pt idx="3">
                  <c:v>0.16486486486486487</c:v>
                </c:pt>
                <c:pt idx="4">
                  <c:v>0.1891891891891892</c:v>
                </c:pt>
                <c:pt idx="5">
                  <c:v>0.16756756756756758</c:v>
                </c:pt>
                <c:pt idx="6">
                  <c:v>0.12162162162162163</c:v>
                </c:pt>
                <c:pt idx="7">
                  <c:v>7.2972972972972977E-2</c:v>
                </c:pt>
                <c:pt idx="8">
                  <c:v>4.8648648648648651E-2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51-48DD-A824-ECF06EAC8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772560"/>
        <c:axId val="447772888"/>
      </c:scatterChart>
      <c:valAx>
        <c:axId val="44777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772888"/>
        <c:crosses val="autoZero"/>
        <c:crossBetween val="midCat"/>
      </c:valAx>
      <c:valAx>
        <c:axId val="44777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77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Статистическя</a:t>
            </a:r>
            <a:r>
              <a:rPr lang="ru-RU" baseline="0"/>
              <a:t> и кумулятивная функции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'ЛР 2'!$M$8:$M$16</c:f>
              <c:numCache>
                <c:formatCode>General</c:formatCode>
                <c:ptCount val="9"/>
                <c:pt idx="0">
                  <c:v>50.05</c:v>
                </c:pt>
                <c:pt idx="1">
                  <c:v>50.150000000000006</c:v>
                </c:pt>
                <c:pt idx="2">
                  <c:v>50.25</c:v>
                </c:pt>
                <c:pt idx="3">
                  <c:v>50.350000000000009</c:v>
                </c:pt>
                <c:pt idx="4">
                  <c:v>50.45</c:v>
                </c:pt>
                <c:pt idx="5">
                  <c:v>50.550000000000011</c:v>
                </c:pt>
                <c:pt idx="6">
                  <c:v>50.650000000000006</c:v>
                </c:pt>
                <c:pt idx="7">
                  <c:v>50.750000000000014</c:v>
                </c:pt>
                <c:pt idx="8">
                  <c:v>50.850000000000009</c:v>
                </c:pt>
              </c:numCache>
            </c:numRef>
          </c:cat>
          <c:val>
            <c:numRef>
              <c:f>'ЛР 2'!$Q$8:$Q$16</c:f>
              <c:numCache>
                <c:formatCode>General</c:formatCode>
                <c:ptCount val="9"/>
                <c:pt idx="0">
                  <c:v>4.5945945945945948E-2</c:v>
                </c:pt>
                <c:pt idx="1">
                  <c:v>0.11621621621621622</c:v>
                </c:pt>
                <c:pt idx="2">
                  <c:v>0.23513513513513515</c:v>
                </c:pt>
                <c:pt idx="3">
                  <c:v>0.4</c:v>
                </c:pt>
                <c:pt idx="4">
                  <c:v>0.58918918918918917</c:v>
                </c:pt>
                <c:pt idx="5">
                  <c:v>0.7567567567567568</c:v>
                </c:pt>
                <c:pt idx="6">
                  <c:v>0.8783783783783784</c:v>
                </c:pt>
                <c:pt idx="7">
                  <c:v>0.9513513513513514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9-413A-A6A8-8D8CEBD6E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8734184"/>
        <c:axId val="53873221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'ЛР 2'!$M$8:$M$16</c:f>
              <c:numCache>
                <c:formatCode>General</c:formatCode>
                <c:ptCount val="9"/>
                <c:pt idx="0">
                  <c:v>50.05</c:v>
                </c:pt>
                <c:pt idx="1">
                  <c:v>50.150000000000006</c:v>
                </c:pt>
                <c:pt idx="2">
                  <c:v>50.25</c:v>
                </c:pt>
                <c:pt idx="3">
                  <c:v>50.350000000000009</c:v>
                </c:pt>
                <c:pt idx="4">
                  <c:v>50.45</c:v>
                </c:pt>
                <c:pt idx="5">
                  <c:v>50.550000000000011</c:v>
                </c:pt>
                <c:pt idx="6">
                  <c:v>50.650000000000006</c:v>
                </c:pt>
                <c:pt idx="7">
                  <c:v>50.750000000000014</c:v>
                </c:pt>
                <c:pt idx="8">
                  <c:v>50.850000000000009</c:v>
                </c:pt>
              </c:numCache>
            </c:numRef>
          </c:cat>
          <c:val>
            <c:numRef>
              <c:f>'ЛР 2'!$Q$8:$Q$16</c:f>
              <c:numCache>
                <c:formatCode>General</c:formatCode>
                <c:ptCount val="9"/>
                <c:pt idx="0">
                  <c:v>4.5945945945945948E-2</c:v>
                </c:pt>
                <c:pt idx="1">
                  <c:v>0.11621621621621622</c:v>
                </c:pt>
                <c:pt idx="2">
                  <c:v>0.23513513513513515</c:v>
                </c:pt>
                <c:pt idx="3">
                  <c:v>0.4</c:v>
                </c:pt>
                <c:pt idx="4">
                  <c:v>0.58918918918918917</c:v>
                </c:pt>
                <c:pt idx="5">
                  <c:v>0.7567567567567568</c:v>
                </c:pt>
                <c:pt idx="6">
                  <c:v>0.8783783783783784</c:v>
                </c:pt>
                <c:pt idx="7">
                  <c:v>0.9513513513513514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7-4ED5-959D-7D8125E40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734184"/>
        <c:axId val="538732216"/>
      </c:lineChart>
      <c:catAx>
        <c:axId val="53873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732216"/>
        <c:crosses val="autoZero"/>
        <c:auto val="1"/>
        <c:lblAlgn val="ctr"/>
        <c:lblOffset val="100"/>
        <c:noMultiLvlLbl val="0"/>
      </c:catAx>
      <c:valAx>
        <c:axId val="53873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734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43195368"/>
        <c:axId val="543195696"/>
      </c:scatterChart>
      <c:valAx>
        <c:axId val="54319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195696"/>
        <c:crosses val="autoZero"/>
        <c:crossBetween val="midCat"/>
      </c:valAx>
      <c:valAx>
        <c:axId val="5431956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43195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Нормальное распределение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'ЛР 2'!$T$8:$T$16</c:f>
              <c:numCache>
                <c:formatCode>0.000</c:formatCode>
                <c:ptCount val="9"/>
                <c:pt idx="0">
                  <c:v>-0.40270270270271169</c:v>
                </c:pt>
                <c:pt idx="1">
                  <c:v>-0.30270270270270316</c:v>
                </c:pt>
                <c:pt idx="2">
                  <c:v>-0.20270270270270885</c:v>
                </c:pt>
                <c:pt idx="3">
                  <c:v>-0.10270270270270032</c:v>
                </c:pt>
                <c:pt idx="4">
                  <c:v>-2.7027027027060058E-3</c:v>
                </c:pt>
                <c:pt idx="5">
                  <c:v>9.7297297297302521E-2</c:v>
                </c:pt>
                <c:pt idx="6">
                  <c:v>0.19729729729729684</c:v>
                </c:pt>
                <c:pt idx="7">
                  <c:v>0.29729729729730536</c:v>
                </c:pt>
                <c:pt idx="8">
                  <c:v>0.39729729729729968</c:v>
                </c:pt>
              </c:numCache>
            </c:numRef>
          </c:xVal>
          <c:yVal>
            <c:numRef>
              <c:f>'ЛР 2'!$AA$8:$AA$16</c:f>
              <c:numCache>
                <c:formatCode>0.000</c:formatCode>
                <c:ptCount val="9"/>
                <c:pt idx="0">
                  <c:v>0.2730462444517528</c:v>
                </c:pt>
                <c:pt idx="1">
                  <c:v>0.64587927732993178</c:v>
                </c:pt>
                <c:pt idx="2">
                  <c:v>1.1968844887261565</c:v>
                </c:pt>
                <c:pt idx="3">
                  <c:v>1.7375562444802779</c:v>
                </c:pt>
                <c:pt idx="4">
                  <c:v>1.9761106068589094</c:v>
                </c:pt>
                <c:pt idx="5">
                  <c:v>1.7606351653930605</c:v>
                </c:pt>
                <c:pt idx="6">
                  <c:v>1.2288906481028592</c:v>
                </c:pt>
                <c:pt idx="7">
                  <c:v>0.67195911820581311</c:v>
                </c:pt>
                <c:pt idx="8">
                  <c:v>0.28784468097805199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B6-46F5-90E4-BB86B42C6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772560"/>
        <c:axId val="447772888"/>
      </c:scatterChart>
      <c:valAx>
        <c:axId val="44777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772888"/>
        <c:crosses val="autoZero"/>
        <c:crossBetween val="midCat"/>
      </c:valAx>
      <c:valAx>
        <c:axId val="44777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77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</xdr:colOff>
      <xdr:row>26</xdr:row>
      <xdr:rowOff>66675</xdr:rowOff>
    </xdr:from>
    <xdr:to>
      <xdr:col>17</xdr:col>
      <xdr:colOff>238125</xdr:colOff>
      <xdr:row>40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717635-D239-4DB7-806C-EB50629C4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100012</xdr:colOff>
      <xdr:row>26</xdr:row>
      <xdr:rowOff>9525</xdr:rowOff>
    </xdr:from>
    <xdr:to>
      <xdr:col>17</xdr:col>
      <xdr:colOff>509587</xdr:colOff>
      <xdr:row>40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8D55434-16F3-4573-BCCB-720745727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290512</xdr:colOff>
      <xdr:row>26</xdr:row>
      <xdr:rowOff>66675</xdr:rowOff>
    </xdr:from>
    <xdr:to>
      <xdr:col>25</xdr:col>
      <xdr:colOff>323850</xdr:colOff>
      <xdr:row>40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DDC0DC5-6E38-46E1-9772-1237598A4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52387</xdr:colOff>
      <xdr:row>42</xdr:row>
      <xdr:rowOff>57150</xdr:rowOff>
    </xdr:from>
    <xdr:to>
      <xdr:col>16</xdr:col>
      <xdr:colOff>461962</xdr:colOff>
      <xdr:row>56</xdr:row>
      <xdr:rowOff>133350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909A805-C7D6-41E3-8334-1D813117A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28575</xdr:colOff>
      <xdr:row>45</xdr:row>
      <xdr:rowOff>38100</xdr:rowOff>
    </xdr:from>
    <xdr:to>
      <xdr:col>16</xdr:col>
      <xdr:colOff>461961</xdr:colOff>
      <xdr:row>55</xdr:row>
      <xdr:rowOff>171448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5E93098-0DA2-4F6E-8BCC-3FA2A8493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304800</xdr:colOff>
      <xdr:row>42</xdr:row>
      <xdr:rowOff>180975</xdr:rowOff>
    </xdr:from>
    <xdr:to>
      <xdr:col>25</xdr:col>
      <xdr:colOff>338138</xdr:colOff>
      <xdr:row>57</xdr:row>
      <xdr:rowOff>66675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F01D2FA-5F74-473F-8F45-C9B9A6774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38100</xdr:colOff>
      <xdr:row>13</xdr:row>
      <xdr:rowOff>66675</xdr:rowOff>
    </xdr:from>
    <xdr:to>
      <xdr:col>37</xdr:col>
      <xdr:colOff>400050</xdr:colOff>
      <xdr:row>38</xdr:row>
      <xdr:rowOff>134728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A30F152-A19C-4F51-A09B-5F29F918D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2543175"/>
          <a:ext cx="6019800" cy="4830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123826</xdr:rowOff>
    </xdr:from>
    <xdr:to>
      <xdr:col>16</xdr:col>
      <xdr:colOff>161925</xdr:colOff>
      <xdr:row>49</xdr:row>
      <xdr:rowOff>178182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2BC6CD0-F8D8-4DA2-A7FB-6DFB8B1F4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9326"/>
          <a:ext cx="4314825" cy="34833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76200</xdr:rowOff>
    </xdr:from>
    <xdr:to>
      <xdr:col>10</xdr:col>
      <xdr:colOff>495324</xdr:colOff>
      <xdr:row>35</xdr:row>
      <xdr:rowOff>180975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26D9740-FB85-48F8-ACB8-3B5E856DE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7350"/>
          <a:ext cx="6391299" cy="527685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10</xdr:row>
      <xdr:rowOff>66676</xdr:rowOff>
    </xdr:from>
    <xdr:to>
      <xdr:col>21</xdr:col>
      <xdr:colOff>552450</xdr:colOff>
      <xdr:row>35</xdr:row>
      <xdr:rowOff>121838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758324B-CEED-4BAA-8503-0618FBE9E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00" y="2038351"/>
          <a:ext cx="5991225" cy="48367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95250</xdr:colOff>
      <xdr:row>0</xdr:row>
      <xdr:rowOff>114300</xdr:rowOff>
    </xdr:from>
    <xdr:to>
      <xdr:col>26</xdr:col>
      <xdr:colOff>592369</xdr:colOff>
      <xdr:row>36</xdr:row>
      <xdr:rowOff>66675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9B77BEF-0784-4E0C-A623-39B375036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14300"/>
          <a:ext cx="5983519" cy="5172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67"/>
  <sheetViews>
    <sheetView tabSelected="1" zoomScale="160" zoomScaleNormal="160" workbookViewId="0">
      <selection activeCell="AU15" sqref="AU15:AW15"/>
    </sheetView>
  </sheetViews>
  <sheetFormatPr defaultRowHeight="11.25" customHeight="1"/>
  <cols>
    <col min="1" max="88" width="1.140625" style="365" customWidth="1"/>
    <col min="89" max="16384" width="9.140625" style="365"/>
  </cols>
  <sheetData>
    <row r="1" spans="1:88" ht="11.25" customHeight="1">
      <c r="A1" s="366"/>
      <c r="B1" s="390" t="s">
        <v>317</v>
      </c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6"/>
      <c r="AU1" s="366"/>
      <c r="AV1" s="366"/>
      <c r="AW1" s="564" t="s">
        <v>359</v>
      </c>
      <c r="AX1" s="366"/>
      <c r="AY1" s="366"/>
      <c r="AZ1" s="366"/>
      <c r="BA1" s="366"/>
      <c r="BB1" s="366"/>
      <c r="BC1" s="729">
        <v>70</v>
      </c>
      <c r="BD1" s="729"/>
      <c r="BE1" s="366"/>
      <c r="BF1" s="366"/>
      <c r="BG1" s="366"/>
      <c r="BH1" s="366"/>
      <c r="BI1" s="366"/>
      <c r="BJ1" s="366"/>
      <c r="BK1" s="366"/>
      <c r="BL1" s="366"/>
      <c r="BM1" s="366"/>
      <c r="BN1" s="366"/>
      <c r="BO1" s="366"/>
      <c r="BP1" s="366"/>
      <c r="BQ1" s="366"/>
      <c r="BR1" s="390" t="s">
        <v>450</v>
      </c>
      <c r="BS1" s="366"/>
      <c r="BT1" s="366"/>
      <c r="BU1" s="366"/>
      <c r="BV1" s="366"/>
      <c r="BW1" s="366"/>
      <c r="BX1" s="366"/>
      <c r="BY1" s="366"/>
      <c r="BZ1" s="366"/>
      <c r="CA1" s="366"/>
      <c r="CB1" s="366"/>
      <c r="CC1" s="366"/>
      <c r="CD1" s="390"/>
      <c r="CE1" s="366"/>
      <c r="CF1" s="366"/>
      <c r="CG1" s="366"/>
      <c r="CH1" s="366"/>
      <c r="CI1" s="366"/>
      <c r="CJ1" s="366"/>
    </row>
    <row r="2" spans="1:88" ht="11.25" customHeight="1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 t="e">
        <v>#REF!</v>
      </c>
      <c r="AX2" s="366"/>
      <c r="AY2" s="366"/>
      <c r="AZ2" s="366"/>
      <c r="BA2" s="366"/>
      <c r="BB2" s="366"/>
      <c r="BC2" s="366"/>
      <c r="BD2" s="366"/>
      <c r="BE2" s="366"/>
      <c r="BF2" s="366"/>
      <c r="BG2" s="366"/>
      <c r="BH2" s="366"/>
      <c r="BI2" s="366"/>
      <c r="BJ2" s="366"/>
      <c r="BK2" s="366"/>
      <c r="BL2" s="366"/>
      <c r="BM2" s="366"/>
      <c r="BN2" s="366"/>
      <c r="BO2" s="366"/>
      <c r="BP2" s="366"/>
      <c r="BQ2" s="366"/>
      <c r="BR2" s="366"/>
      <c r="BS2" s="366"/>
      <c r="BT2" s="366"/>
      <c r="BU2" s="366"/>
      <c r="BV2" s="366"/>
      <c r="BW2" s="366"/>
      <c r="BX2" s="366"/>
      <c r="BY2" s="366"/>
      <c r="BZ2" s="366"/>
      <c r="CA2" s="366"/>
      <c r="CB2" s="366"/>
      <c r="CC2" s="366"/>
      <c r="CD2" s="366"/>
      <c r="CE2" s="366"/>
      <c r="CF2" s="366"/>
      <c r="CG2" s="366"/>
      <c r="CH2" s="366"/>
      <c r="CI2" s="366"/>
      <c r="CJ2" s="366"/>
    </row>
    <row r="3" spans="1:88" ht="11.25" customHeight="1">
      <c r="A3" s="366"/>
      <c r="B3" s="367" t="s">
        <v>318</v>
      </c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  <c r="AP3" s="366"/>
      <c r="AQ3" s="366"/>
      <c r="AR3" s="366"/>
      <c r="AS3" s="366"/>
      <c r="AT3" s="366"/>
      <c r="AU3" s="366"/>
      <c r="AV3" s="366"/>
      <c r="AW3" s="366"/>
      <c r="AX3" s="366"/>
      <c r="AY3" s="366"/>
      <c r="AZ3" s="366"/>
      <c r="BA3" s="366"/>
      <c r="BB3" s="366"/>
      <c r="BC3" s="366"/>
      <c r="BD3" s="366"/>
      <c r="BE3" s="366"/>
      <c r="BF3" s="366"/>
      <c r="BG3" s="366"/>
      <c r="BH3" s="366"/>
      <c r="BI3" s="366"/>
      <c r="BJ3" s="366"/>
      <c r="BK3" s="366"/>
      <c r="BL3" s="366"/>
      <c r="BM3" s="366"/>
      <c r="BN3" s="366"/>
      <c r="BO3" s="366"/>
      <c r="BP3" s="366"/>
      <c r="BQ3" s="366"/>
      <c r="BR3" s="366"/>
      <c r="BS3" s="366"/>
      <c r="BT3" s="366"/>
      <c r="BU3" s="366"/>
      <c r="BV3" s="366"/>
      <c r="BW3" s="366"/>
      <c r="BX3" s="366"/>
      <c r="BY3" s="366"/>
      <c r="BZ3" s="366"/>
      <c r="CA3" s="366"/>
      <c r="CB3" s="366"/>
      <c r="CC3" s="366"/>
      <c r="CD3" s="366"/>
      <c r="CE3" s="366"/>
      <c r="CF3" s="366"/>
      <c r="CG3" s="366"/>
      <c r="CH3" s="366"/>
      <c r="CI3" s="366"/>
      <c r="CJ3" s="366"/>
    </row>
    <row r="4" spans="1:88" ht="11.25" customHeight="1">
      <c r="A4" s="366"/>
      <c r="B4" s="366"/>
      <c r="C4" s="366"/>
      <c r="D4" s="366"/>
      <c r="E4" s="366"/>
      <c r="F4" s="367" t="s">
        <v>358</v>
      </c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366"/>
      <c r="AQ4" s="366"/>
      <c r="AR4" s="366"/>
      <c r="AS4" s="366"/>
      <c r="AT4" s="366"/>
      <c r="AU4" s="366"/>
      <c r="AV4" s="366"/>
      <c r="AW4" s="366"/>
      <c r="AX4" s="366"/>
      <c r="AY4" s="366"/>
      <c r="AZ4" s="366"/>
      <c r="BA4" s="366"/>
      <c r="BB4" s="366"/>
      <c r="BC4" s="366"/>
      <c r="BD4" s="366"/>
      <c r="BE4" s="366"/>
      <c r="BF4" s="366"/>
      <c r="BG4" s="366"/>
      <c r="BH4" s="366"/>
      <c r="BI4" s="366"/>
      <c r="BJ4" s="366"/>
      <c r="BK4" s="366"/>
      <c r="BL4" s="366"/>
      <c r="BM4" s="366"/>
      <c r="BN4" s="366"/>
      <c r="BO4" s="366"/>
      <c r="BP4" s="366"/>
      <c r="BQ4" s="366"/>
      <c r="BR4" s="366"/>
      <c r="BS4" s="366"/>
      <c r="BT4" s="366"/>
      <c r="BU4" s="366"/>
      <c r="BV4" s="366"/>
      <c r="BW4" s="366"/>
      <c r="BX4" s="366"/>
      <c r="BY4" s="366"/>
      <c r="BZ4" s="366"/>
      <c r="CA4" s="366"/>
      <c r="CB4" s="366"/>
      <c r="CC4" s="366"/>
      <c r="CD4" s="366"/>
      <c r="CE4" s="366"/>
      <c r="CF4" s="366"/>
      <c r="CG4" s="366"/>
      <c r="CH4" s="366"/>
      <c r="CI4" s="366"/>
      <c r="CJ4" s="366"/>
    </row>
    <row r="5" spans="1:88" ht="11.25" customHeight="1">
      <c r="A5" s="366"/>
      <c r="B5" s="366"/>
      <c r="C5" s="366"/>
      <c r="D5" s="366"/>
      <c r="E5" s="366"/>
      <c r="F5" s="366"/>
      <c r="G5" s="732" t="s">
        <v>30</v>
      </c>
      <c r="H5" s="733"/>
      <c r="I5" s="733"/>
      <c r="J5" s="733"/>
      <c r="K5" s="733"/>
      <c r="L5" s="733"/>
      <c r="M5" s="733"/>
      <c r="N5" s="733"/>
      <c r="O5" s="733"/>
      <c r="P5" s="733"/>
      <c r="Q5" s="733"/>
      <c r="R5" s="733"/>
      <c r="S5" s="732" t="s">
        <v>32</v>
      </c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733"/>
      <c r="AH5" s="733"/>
      <c r="AI5" s="734"/>
      <c r="AJ5" s="733" t="s">
        <v>33</v>
      </c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4"/>
      <c r="AV5" s="366"/>
      <c r="AW5" s="366"/>
      <c r="AX5" s="366"/>
      <c r="AY5" s="366"/>
      <c r="AZ5" s="366"/>
      <c r="BA5" s="366"/>
      <c r="BB5" s="366"/>
      <c r="BC5" s="366"/>
      <c r="BD5" s="366"/>
      <c r="BE5" s="366"/>
      <c r="BF5" s="366"/>
      <c r="BG5" s="366"/>
      <c r="BH5" s="366"/>
      <c r="BI5" s="366"/>
      <c r="BJ5" s="366"/>
      <c r="BK5" s="366"/>
      <c r="BL5" s="366"/>
      <c r="BM5" s="366"/>
      <c r="BN5" s="366"/>
      <c r="BO5" s="366"/>
      <c r="BP5" s="366"/>
      <c r="BQ5" s="366"/>
      <c r="BR5" s="366"/>
      <c r="BS5" s="366"/>
      <c r="BT5" s="366"/>
      <c r="BU5" s="366"/>
      <c r="BV5" s="366"/>
      <c r="BW5" s="366"/>
      <c r="BX5" s="366"/>
      <c r="BY5" s="366"/>
      <c r="BZ5" s="366"/>
      <c r="CA5" s="366"/>
      <c r="CB5" s="366"/>
      <c r="CC5" s="366"/>
      <c r="CD5" s="366"/>
      <c r="CE5" s="366"/>
      <c r="CF5" s="366"/>
      <c r="CG5" s="366"/>
      <c r="CH5" s="366"/>
      <c r="CI5" s="366"/>
      <c r="CJ5" s="366"/>
    </row>
    <row r="6" spans="1:88" ht="11.25" customHeight="1">
      <c r="A6" s="366"/>
      <c r="B6" s="366"/>
      <c r="C6" s="366"/>
      <c r="D6" s="366"/>
      <c r="E6" s="366"/>
      <c r="F6" s="366"/>
      <c r="G6" s="735">
        <v>174.9</v>
      </c>
      <c r="H6" s="736"/>
      <c r="I6" s="736"/>
      <c r="J6" s="736"/>
      <c r="K6" s="736"/>
      <c r="L6" s="391" t="s">
        <v>49</v>
      </c>
      <c r="M6" s="736" t="s">
        <v>424</v>
      </c>
      <c r="N6" s="736"/>
      <c r="O6" s="736"/>
      <c r="P6" s="736"/>
      <c r="Q6" s="736"/>
      <c r="R6" s="392" t="s">
        <v>424</v>
      </c>
      <c r="S6" s="737">
        <v>4.9000000000000004</v>
      </c>
      <c r="T6" s="738"/>
      <c r="U6" s="738"/>
      <c r="V6" s="738"/>
      <c r="W6" s="471" t="s">
        <v>31</v>
      </c>
      <c r="X6" s="739" t="s">
        <v>424</v>
      </c>
      <c r="Y6" s="739"/>
      <c r="Z6" s="739"/>
      <c r="AA6" s="739"/>
      <c r="AB6" s="739"/>
      <c r="AC6" s="471" t="s">
        <v>424</v>
      </c>
      <c r="AD6" s="738" t="s">
        <v>424</v>
      </c>
      <c r="AE6" s="738"/>
      <c r="AF6" s="738"/>
      <c r="AG6" s="738"/>
      <c r="AH6" s="738"/>
      <c r="AI6" s="472" t="e">
        <v>#VALUE!</v>
      </c>
      <c r="AJ6" s="727">
        <v>0.97199999999999998</v>
      </c>
      <c r="AK6" s="728"/>
      <c r="AL6" s="728"/>
      <c r="AM6" s="728"/>
      <c r="AN6" s="728"/>
      <c r="AO6" s="728"/>
      <c r="AP6" s="728"/>
      <c r="AQ6" s="728"/>
      <c r="AR6" s="728"/>
      <c r="AS6" s="374" t="s">
        <v>21</v>
      </c>
      <c r="AT6" s="374"/>
      <c r="AU6" s="660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  <c r="BM6" s="366"/>
      <c r="BN6" s="366"/>
      <c r="BO6" s="366"/>
      <c r="BP6" s="366"/>
      <c r="BQ6" s="366"/>
      <c r="BR6" s="366"/>
      <c r="BS6" s="366"/>
      <c r="BT6" s="366"/>
      <c r="BU6" s="366"/>
      <c r="BV6" s="366"/>
      <c r="BW6" s="366"/>
      <c r="BX6" s="366"/>
      <c r="BY6" s="366"/>
      <c r="BZ6" s="366"/>
      <c r="CA6" s="366"/>
      <c r="CB6" s="366"/>
      <c r="CC6" s="366"/>
      <c r="CD6" s="366"/>
      <c r="CE6" s="366"/>
      <c r="CF6" s="366"/>
      <c r="CG6" s="366"/>
      <c r="CH6" s="366"/>
      <c r="CI6" s="366"/>
      <c r="CJ6" s="366"/>
    </row>
    <row r="7" spans="1:88" ht="11.25" customHeight="1">
      <c r="A7" s="366"/>
      <c r="B7" s="366"/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6"/>
      <c r="AK7" s="366"/>
      <c r="AL7" s="366"/>
      <c r="AM7" s="366"/>
      <c r="AN7" s="366"/>
      <c r="AO7" s="366"/>
      <c r="AP7" s="366"/>
      <c r="AQ7" s="366"/>
      <c r="AR7" s="366"/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  <c r="BM7" s="366"/>
      <c r="BN7" s="366"/>
      <c r="BO7" s="366"/>
      <c r="BP7" s="366"/>
      <c r="BQ7" s="366"/>
      <c r="BR7" s="366"/>
      <c r="BS7" s="366"/>
      <c r="BT7" s="366"/>
      <c r="BU7" s="366"/>
      <c r="BV7" s="366"/>
      <c r="BW7" s="366"/>
      <c r="BX7" s="366"/>
      <c r="BY7" s="366"/>
      <c r="BZ7" s="366"/>
      <c r="CA7" s="366"/>
      <c r="CB7" s="366"/>
      <c r="CC7" s="366"/>
      <c r="CD7" s="366"/>
      <c r="CE7" s="366"/>
      <c r="CF7" s="366"/>
      <c r="CG7" s="366"/>
      <c r="CH7" s="366"/>
      <c r="CI7" s="366"/>
      <c r="CJ7" s="366"/>
    </row>
    <row r="8" spans="1:88" ht="11.25" customHeight="1">
      <c r="A8" s="366"/>
      <c r="B8" s="366"/>
      <c r="C8" s="366"/>
      <c r="D8" s="366"/>
      <c r="E8" s="366"/>
      <c r="F8" s="367" t="s">
        <v>360</v>
      </c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6"/>
      <c r="AF8" s="366"/>
      <c r="AG8" s="366"/>
      <c r="AH8" s="366"/>
      <c r="AI8" s="366"/>
      <c r="AJ8" s="366"/>
      <c r="AK8" s="366"/>
      <c r="AL8" s="366"/>
      <c r="AM8" s="366"/>
      <c r="AN8" s="366"/>
      <c r="AO8" s="366"/>
      <c r="AP8" s="366"/>
      <c r="AQ8" s="366"/>
      <c r="AR8" s="366"/>
      <c r="AS8" s="366"/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  <c r="BM8" s="366"/>
      <c r="BN8" s="366"/>
      <c r="BO8" s="366"/>
      <c r="BP8" s="366"/>
      <c r="BQ8" s="366"/>
      <c r="BR8" s="366"/>
      <c r="BS8" s="366"/>
      <c r="BT8" s="366"/>
      <c r="BU8" s="366"/>
      <c r="BV8" s="366"/>
      <c r="BW8" s="366"/>
      <c r="BX8" s="366"/>
      <c r="BY8" s="366"/>
      <c r="BZ8" s="366"/>
      <c r="CA8" s="366"/>
      <c r="CB8" s="366"/>
      <c r="CC8" s="366"/>
      <c r="CD8" s="366"/>
      <c r="CE8" s="366"/>
      <c r="CF8" s="366"/>
      <c r="CG8" s="366"/>
      <c r="CH8" s="366"/>
      <c r="CI8" s="366"/>
      <c r="CJ8" s="366"/>
    </row>
    <row r="9" spans="1:88" ht="11.25" customHeight="1">
      <c r="A9" s="366"/>
      <c r="B9" s="366"/>
      <c r="C9" s="366"/>
      <c r="D9" s="366"/>
      <c r="E9" s="366"/>
      <c r="F9" s="366"/>
      <c r="G9" s="743" t="s">
        <v>319</v>
      </c>
      <c r="H9" s="743"/>
      <c r="I9" s="743"/>
      <c r="J9" s="743"/>
      <c r="K9" s="743"/>
      <c r="L9" s="743"/>
      <c r="M9" s="743"/>
      <c r="N9" s="743"/>
      <c r="O9" s="743" t="s">
        <v>320</v>
      </c>
      <c r="P9" s="743"/>
      <c r="Q9" s="743"/>
      <c r="R9" s="743"/>
      <c r="S9" s="743"/>
      <c r="T9" s="743"/>
      <c r="U9" s="743"/>
      <c r="V9" s="743"/>
      <c r="W9" s="743" t="s">
        <v>321</v>
      </c>
      <c r="X9" s="743"/>
      <c r="Y9" s="743"/>
      <c r="Z9" s="743"/>
      <c r="AA9" s="743"/>
      <c r="AB9" s="743"/>
      <c r="AC9" s="743"/>
      <c r="AD9" s="743"/>
      <c r="AE9" s="743" t="s">
        <v>322</v>
      </c>
      <c r="AF9" s="743"/>
      <c r="AG9" s="743"/>
      <c r="AH9" s="743"/>
      <c r="AI9" s="743"/>
      <c r="AJ9" s="743"/>
      <c r="AK9" s="743"/>
      <c r="AL9" s="743"/>
      <c r="AM9" s="743" t="s">
        <v>323</v>
      </c>
      <c r="AN9" s="743"/>
      <c r="AO9" s="743"/>
      <c r="AP9" s="743"/>
      <c r="AQ9" s="743"/>
      <c r="AR9" s="743"/>
      <c r="AS9" s="743"/>
      <c r="AT9" s="743"/>
      <c r="AU9" s="743" t="s">
        <v>324</v>
      </c>
      <c r="AV9" s="743"/>
      <c r="AW9" s="743"/>
      <c r="AX9" s="743"/>
      <c r="AY9" s="743"/>
      <c r="AZ9" s="743"/>
      <c r="BA9" s="743"/>
      <c r="BB9" s="743"/>
      <c r="BC9" s="743" t="s">
        <v>362</v>
      </c>
      <c r="BD9" s="743"/>
      <c r="BE9" s="743"/>
      <c r="BF9" s="743"/>
      <c r="BG9" s="743"/>
      <c r="BH9" s="743"/>
      <c r="BI9" s="743"/>
      <c r="BJ9" s="743"/>
      <c r="BK9" s="366"/>
      <c r="BL9" s="366"/>
      <c r="BM9" s="366"/>
      <c r="BN9" s="366"/>
      <c r="BO9" s="366"/>
      <c r="BP9" s="366"/>
      <c r="BQ9" s="366"/>
      <c r="BR9" s="366"/>
      <c r="BS9" s="366"/>
      <c r="BT9" s="366"/>
      <c r="BU9" s="366"/>
      <c r="BV9" s="366"/>
      <c r="BW9" s="366"/>
      <c r="BX9" s="366"/>
      <c r="BY9" s="366"/>
      <c r="BZ9" s="366"/>
      <c r="CA9" s="366"/>
      <c r="CB9" s="366"/>
      <c r="CC9" s="366"/>
      <c r="CD9" s="366"/>
      <c r="CE9" s="366"/>
      <c r="CF9" s="366"/>
      <c r="CG9" s="366"/>
      <c r="CH9" s="366"/>
      <c r="CI9" s="366"/>
      <c r="CJ9" s="366"/>
    </row>
    <row r="10" spans="1:88" ht="11.25" customHeight="1">
      <c r="A10" s="366"/>
      <c r="B10" s="366"/>
      <c r="C10" s="366"/>
      <c r="D10" s="366"/>
      <c r="E10" s="366"/>
      <c r="F10" s="366"/>
      <c r="G10" s="743">
        <v>0.84</v>
      </c>
      <c r="H10" s="743"/>
      <c r="I10" s="743"/>
      <c r="J10" s="743"/>
      <c r="K10" s="743"/>
      <c r="L10" s="743"/>
      <c r="M10" s="743"/>
      <c r="N10" s="743"/>
      <c r="O10" s="743">
        <v>0.3</v>
      </c>
      <c r="P10" s="743"/>
      <c r="Q10" s="743"/>
      <c r="R10" s="743"/>
      <c r="S10" s="743"/>
      <c r="T10" s="743"/>
      <c r="U10" s="743"/>
      <c r="V10" s="743"/>
      <c r="W10" s="743">
        <v>4.0789999999999997</v>
      </c>
      <c r="X10" s="743"/>
      <c r="Y10" s="743"/>
      <c r="Z10" s="743"/>
      <c r="AA10" s="743"/>
      <c r="AB10" s="743"/>
      <c r="AC10" s="743"/>
      <c r="AD10" s="743"/>
      <c r="AE10" s="743">
        <v>4.9446700000000003</v>
      </c>
      <c r="AF10" s="743"/>
      <c r="AG10" s="743"/>
      <c r="AH10" s="743"/>
      <c r="AI10" s="743"/>
      <c r="AJ10" s="743"/>
      <c r="AK10" s="743"/>
      <c r="AL10" s="743"/>
      <c r="AM10" s="743">
        <v>6.8</v>
      </c>
      <c r="AN10" s="743"/>
      <c r="AO10" s="743"/>
      <c r="AP10" s="743"/>
      <c r="AQ10" s="743"/>
      <c r="AR10" s="743"/>
      <c r="AS10" s="743"/>
      <c r="AT10" s="743"/>
      <c r="AU10" s="743">
        <v>7.6767000000000003</v>
      </c>
      <c r="AV10" s="743"/>
      <c r="AW10" s="743"/>
      <c r="AX10" s="743"/>
      <c r="AY10" s="743"/>
      <c r="AZ10" s="743"/>
      <c r="BA10" s="743"/>
      <c r="BB10" s="743"/>
      <c r="BC10" s="743">
        <v>0.75426700000000002</v>
      </c>
      <c r="BD10" s="743"/>
      <c r="BE10" s="743"/>
      <c r="BF10" s="743"/>
      <c r="BG10" s="743"/>
      <c r="BH10" s="743"/>
      <c r="BI10" s="743"/>
      <c r="BJ10" s="743"/>
      <c r="BK10" s="366"/>
      <c r="BL10" s="366"/>
      <c r="BM10" s="366"/>
      <c r="BN10" s="366"/>
      <c r="BO10" s="366"/>
      <c r="BP10" s="366"/>
      <c r="BQ10" s="366"/>
      <c r="BR10" s="366"/>
      <c r="BS10" s="366"/>
      <c r="BT10" s="366"/>
      <c r="BU10" s="366"/>
      <c r="BV10" s="366"/>
      <c r="BW10" s="366"/>
      <c r="BX10" s="366"/>
      <c r="BY10" s="366"/>
      <c r="BZ10" s="366"/>
      <c r="CA10" s="366"/>
      <c r="CB10" s="366"/>
      <c r="CC10" s="366"/>
      <c r="CD10" s="366"/>
      <c r="CE10" s="366"/>
      <c r="CF10" s="366"/>
      <c r="CG10" s="366"/>
      <c r="CH10" s="366"/>
      <c r="CI10" s="366"/>
      <c r="CJ10" s="366"/>
    </row>
    <row r="11" spans="1:88" ht="11.25" customHeight="1">
      <c r="A11" s="366"/>
      <c r="B11" s="366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6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6"/>
      <c r="AQ11" s="366"/>
      <c r="AR11" s="366"/>
      <c r="AS11" s="366"/>
      <c r="AT11" s="366"/>
      <c r="AU11" s="366"/>
      <c r="AV11" s="366"/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  <c r="BM11" s="366"/>
      <c r="BN11" s="366"/>
      <c r="BO11" s="366"/>
      <c r="BP11" s="366"/>
      <c r="BQ11" s="366"/>
      <c r="BR11" s="366"/>
      <c r="BS11" s="366"/>
      <c r="BT11" s="366"/>
      <c r="BU11" s="366"/>
      <c r="BV11" s="366"/>
      <c r="BW11" s="366"/>
      <c r="BX11" s="366"/>
      <c r="BY11" s="366"/>
      <c r="BZ11" s="366"/>
      <c r="CA11" s="366"/>
      <c r="CB11" s="366"/>
      <c r="CC11" s="366"/>
      <c r="CD11" s="366"/>
      <c r="CE11" s="366"/>
      <c r="CF11" s="366"/>
      <c r="CG11" s="366"/>
      <c r="CH11" s="366"/>
      <c r="CI11" s="366"/>
      <c r="CJ11" s="366"/>
    </row>
    <row r="12" spans="1:88" ht="11.25" customHeight="1">
      <c r="A12" s="366"/>
      <c r="B12" s="367" t="s">
        <v>325</v>
      </c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6"/>
      <c r="AR12" s="366"/>
      <c r="AS12" s="366"/>
      <c r="AT12" s="366"/>
      <c r="AU12" s="366"/>
      <c r="AV12" s="366"/>
      <c r="AW12" s="366"/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6"/>
      <c r="BS12" s="366"/>
      <c r="BT12" s="366"/>
      <c r="BU12" s="366"/>
      <c r="BV12" s="366"/>
      <c r="BW12" s="366"/>
      <c r="BX12" s="366"/>
      <c r="BY12" s="366"/>
      <c r="BZ12" s="366"/>
      <c r="CA12" s="366"/>
      <c r="CB12" s="366"/>
      <c r="CC12" s="366"/>
      <c r="CD12" s="366"/>
      <c r="CE12" s="366"/>
      <c r="CF12" s="366"/>
      <c r="CG12" s="366"/>
      <c r="CH12" s="366"/>
      <c r="CI12" s="366"/>
      <c r="CJ12" s="366"/>
    </row>
    <row r="13" spans="1:88" ht="11.25" customHeight="1">
      <c r="A13" s="366"/>
      <c r="B13" s="366"/>
      <c r="C13" s="366"/>
      <c r="D13" s="366"/>
      <c r="E13" s="366"/>
      <c r="F13" s="367" t="s">
        <v>361</v>
      </c>
      <c r="G13" s="366"/>
      <c r="H13" s="366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6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6"/>
      <c r="AS13" s="366"/>
      <c r="AT13" s="366"/>
      <c r="AU13" s="366"/>
      <c r="AV13" s="366"/>
      <c r="AW13" s="366"/>
      <c r="AX13" s="366"/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6"/>
      <c r="BR13" s="366"/>
      <c r="BS13" s="366"/>
      <c r="BT13" s="366"/>
      <c r="BU13" s="366"/>
      <c r="BV13" s="366"/>
      <c r="BW13" s="366"/>
      <c r="BX13" s="366"/>
      <c r="BY13" s="366"/>
      <c r="BZ13" s="366"/>
      <c r="CA13" s="366"/>
      <c r="CB13" s="366"/>
      <c r="CC13" s="366"/>
      <c r="CD13" s="366"/>
      <c r="CE13" s="366"/>
      <c r="CF13" s="366"/>
      <c r="CG13" s="366"/>
      <c r="CH13" s="366"/>
      <c r="CI13" s="366"/>
      <c r="CJ13" s="366"/>
    </row>
    <row r="14" spans="1:88" ht="11.25" customHeight="1">
      <c r="A14" s="366"/>
      <c r="B14" s="366"/>
      <c r="C14" s="366"/>
      <c r="D14" s="366"/>
      <c r="E14" s="366"/>
      <c r="F14" s="366"/>
      <c r="G14" s="749" t="s">
        <v>43</v>
      </c>
      <c r="H14" s="750"/>
      <c r="I14" s="750"/>
      <c r="J14" s="750"/>
      <c r="K14" s="750"/>
      <c r="L14" s="750"/>
      <c r="M14" s="750"/>
      <c r="N14" s="750"/>
      <c r="O14" s="740">
        <v>49</v>
      </c>
      <c r="P14" s="741"/>
      <c r="Q14" s="741"/>
      <c r="R14" s="393" t="s">
        <v>49</v>
      </c>
      <c r="S14" s="742">
        <v>50</v>
      </c>
      <c r="T14" s="742"/>
      <c r="U14" s="742"/>
      <c r="V14" s="394" t="s">
        <v>181</v>
      </c>
      <c r="W14" s="740">
        <v>49</v>
      </c>
      <c r="X14" s="741"/>
      <c r="Y14" s="741"/>
      <c r="Z14" s="393" t="s">
        <v>49</v>
      </c>
      <c r="AA14" s="742">
        <v>50.1</v>
      </c>
      <c r="AB14" s="742"/>
      <c r="AC14" s="742"/>
      <c r="AD14" s="394" t="s">
        <v>181</v>
      </c>
      <c r="AE14" s="741">
        <v>49</v>
      </c>
      <c r="AF14" s="741"/>
      <c r="AG14" s="741"/>
      <c r="AH14" s="393" t="s">
        <v>49</v>
      </c>
      <c r="AI14" s="742">
        <v>50.2</v>
      </c>
      <c r="AJ14" s="742"/>
      <c r="AK14" s="742"/>
      <c r="AL14" s="395" t="s">
        <v>181</v>
      </c>
      <c r="AM14" s="740">
        <v>49</v>
      </c>
      <c r="AN14" s="741"/>
      <c r="AO14" s="741"/>
      <c r="AP14" s="393" t="s">
        <v>49</v>
      </c>
      <c r="AQ14" s="742">
        <v>50.300000000000004</v>
      </c>
      <c r="AR14" s="742"/>
      <c r="AS14" s="742"/>
      <c r="AT14" s="394" t="s">
        <v>181</v>
      </c>
      <c r="AU14" s="741">
        <v>49</v>
      </c>
      <c r="AV14" s="741"/>
      <c r="AW14" s="741"/>
      <c r="AX14" s="393" t="s">
        <v>49</v>
      </c>
      <c r="AY14" s="742">
        <v>50.400000000000006</v>
      </c>
      <c r="AZ14" s="742"/>
      <c r="BA14" s="742"/>
      <c r="BB14" s="395" t="s">
        <v>181</v>
      </c>
      <c r="BC14" s="740">
        <v>49</v>
      </c>
      <c r="BD14" s="741"/>
      <c r="BE14" s="741"/>
      <c r="BF14" s="393" t="s">
        <v>49</v>
      </c>
      <c r="BG14" s="742">
        <v>50.500000000000007</v>
      </c>
      <c r="BH14" s="742"/>
      <c r="BI14" s="742"/>
      <c r="BJ14" s="394" t="s">
        <v>181</v>
      </c>
      <c r="BK14" s="741">
        <v>49</v>
      </c>
      <c r="BL14" s="741"/>
      <c r="BM14" s="741"/>
      <c r="BN14" s="393" t="s">
        <v>49</v>
      </c>
      <c r="BO14" s="742">
        <v>50.600000000000009</v>
      </c>
      <c r="BP14" s="742"/>
      <c r="BQ14" s="742"/>
      <c r="BR14" s="395" t="s">
        <v>181</v>
      </c>
      <c r="BS14" s="740">
        <v>49</v>
      </c>
      <c r="BT14" s="741"/>
      <c r="BU14" s="741"/>
      <c r="BV14" s="393" t="s">
        <v>49</v>
      </c>
      <c r="BW14" s="742">
        <v>50.70000000000001</v>
      </c>
      <c r="BX14" s="742"/>
      <c r="BY14" s="742"/>
      <c r="BZ14" s="394" t="s">
        <v>181</v>
      </c>
      <c r="CA14" s="741">
        <v>49</v>
      </c>
      <c r="CB14" s="741"/>
      <c r="CC14" s="741"/>
      <c r="CD14" s="393" t="s">
        <v>49</v>
      </c>
      <c r="CE14" s="742">
        <v>50.800000000000011</v>
      </c>
      <c r="CF14" s="742"/>
      <c r="CG14" s="742"/>
      <c r="CH14" s="394" t="s">
        <v>181</v>
      </c>
      <c r="CI14" s="366"/>
      <c r="CJ14" s="366"/>
    </row>
    <row r="15" spans="1:88" ht="11.25" customHeight="1">
      <c r="A15" s="366"/>
      <c r="B15" s="366"/>
      <c r="C15" s="366"/>
      <c r="D15" s="366"/>
      <c r="E15" s="366"/>
      <c r="F15" s="366"/>
      <c r="G15" s="751"/>
      <c r="H15" s="752"/>
      <c r="I15" s="752"/>
      <c r="J15" s="752"/>
      <c r="K15" s="752"/>
      <c r="L15" s="752"/>
      <c r="M15" s="752"/>
      <c r="N15" s="752"/>
      <c r="O15" s="746">
        <v>49</v>
      </c>
      <c r="P15" s="744"/>
      <c r="Q15" s="744"/>
      <c r="R15" s="391" t="s">
        <v>49</v>
      </c>
      <c r="S15" s="745">
        <v>50.1</v>
      </c>
      <c r="T15" s="745"/>
      <c r="U15" s="745"/>
      <c r="V15" s="396" t="s">
        <v>181</v>
      </c>
      <c r="W15" s="746">
        <v>49</v>
      </c>
      <c r="X15" s="744"/>
      <c r="Y15" s="744"/>
      <c r="Z15" s="391" t="s">
        <v>49</v>
      </c>
      <c r="AA15" s="745">
        <v>50.2</v>
      </c>
      <c r="AB15" s="745"/>
      <c r="AC15" s="745"/>
      <c r="AD15" s="396" t="s">
        <v>181</v>
      </c>
      <c r="AE15" s="744">
        <v>49</v>
      </c>
      <c r="AF15" s="744"/>
      <c r="AG15" s="744"/>
      <c r="AH15" s="391" t="s">
        <v>49</v>
      </c>
      <c r="AI15" s="745">
        <v>50.300000000000004</v>
      </c>
      <c r="AJ15" s="745"/>
      <c r="AK15" s="745"/>
      <c r="AL15" s="397" t="s">
        <v>181</v>
      </c>
      <c r="AM15" s="746">
        <v>49</v>
      </c>
      <c r="AN15" s="744"/>
      <c r="AO15" s="744"/>
      <c r="AP15" s="391" t="s">
        <v>49</v>
      </c>
      <c r="AQ15" s="745">
        <v>50.400000000000006</v>
      </c>
      <c r="AR15" s="745"/>
      <c r="AS15" s="745"/>
      <c r="AT15" s="396" t="s">
        <v>181</v>
      </c>
      <c r="AU15" s="744">
        <v>49</v>
      </c>
      <c r="AV15" s="744"/>
      <c r="AW15" s="744"/>
      <c r="AX15" s="391" t="s">
        <v>49</v>
      </c>
      <c r="AY15" s="745">
        <v>50.500000000000007</v>
      </c>
      <c r="AZ15" s="745"/>
      <c r="BA15" s="745"/>
      <c r="BB15" s="397" t="s">
        <v>181</v>
      </c>
      <c r="BC15" s="746">
        <v>49</v>
      </c>
      <c r="BD15" s="744"/>
      <c r="BE15" s="744"/>
      <c r="BF15" s="391" t="s">
        <v>49</v>
      </c>
      <c r="BG15" s="745">
        <v>50.600000000000009</v>
      </c>
      <c r="BH15" s="745"/>
      <c r="BI15" s="745"/>
      <c r="BJ15" s="396" t="s">
        <v>181</v>
      </c>
      <c r="BK15" s="744">
        <v>49</v>
      </c>
      <c r="BL15" s="744"/>
      <c r="BM15" s="744"/>
      <c r="BN15" s="391" t="s">
        <v>49</v>
      </c>
      <c r="BO15" s="745">
        <v>50.70000000000001</v>
      </c>
      <c r="BP15" s="745"/>
      <c r="BQ15" s="745"/>
      <c r="BR15" s="397" t="s">
        <v>181</v>
      </c>
      <c r="BS15" s="746">
        <v>49</v>
      </c>
      <c r="BT15" s="744"/>
      <c r="BU15" s="744"/>
      <c r="BV15" s="391" t="s">
        <v>49</v>
      </c>
      <c r="BW15" s="745">
        <v>50.800000000000011</v>
      </c>
      <c r="BX15" s="745"/>
      <c r="BY15" s="745"/>
      <c r="BZ15" s="396" t="s">
        <v>181</v>
      </c>
      <c r="CA15" s="744">
        <v>49</v>
      </c>
      <c r="CB15" s="744"/>
      <c r="CC15" s="744"/>
      <c r="CD15" s="391" t="s">
        <v>49</v>
      </c>
      <c r="CE15" s="745">
        <v>50.900000000000013</v>
      </c>
      <c r="CF15" s="745"/>
      <c r="CG15" s="745"/>
      <c r="CH15" s="396" t="s">
        <v>181</v>
      </c>
      <c r="CI15" s="366"/>
      <c r="CJ15" s="366"/>
    </row>
    <row r="16" spans="1:88" ht="11.25" customHeight="1">
      <c r="A16" s="366"/>
      <c r="B16" s="366"/>
      <c r="C16" s="366"/>
      <c r="D16" s="366"/>
      <c r="E16" s="366"/>
      <c r="F16" s="366"/>
      <c r="G16" s="747" t="s">
        <v>326</v>
      </c>
      <c r="H16" s="747"/>
      <c r="I16" s="747"/>
      <c r="J16" s="747"/>
      <c r="K16" s="747"/>
      <c r="L16" s="747"/>
      <c r="M16" s="747"/>
      <c r="N16" s="747"/>
      <c r="O16" s="748">
        <v>17</v>
      </c>
      <c r="P16" s="748"/>
      <c r="Q16" s="748"/>
      <c r="R16" s="748"/>
      <c r="S16" s="748"/>
      <c r="T16" s="748"/>
      <c r="U16" s="748"/>
      <c r="V16" s="748"/>
      <c r="W16" s="748">
        <v>26</v>
      </c>
      <c r="X16" s="748"/>
      <c r="Y16" s="748"/>
      <c r="Z16" s="748"/>
      <c r="AA16" s="748"/>
      <c r="AB16" s="748"/>
      <c r="AC16" s="748"/>
      <c r="AD16" s="748"/>
      <c r="AE16" s="748">
        <v>44</v>
      </c>
      <c r="AF16" s="748"/>
      <c r="AG16" s="748"/>
      <c r="AH16" s="748"/>
      <c r="AI16" s="748"/>
      <c r="AJ16" s="748"/>
      <c r="AK16" s="748"/>
      <c r="AL16" s="748"/>
      <c r="AM16" s="748">
        <v>61</v>
      </c>
      <c r="AN16" s="748"/>
      <c r="AO16" s="748"/>
      <c r="AP16" s="748"/>
      <c r="AQ16" s="748"/>
      <c r="AR16" s="748"/>
      <c r="AS16" s="748"/>
      <c r="AT16" s="748"/>
      <c r="AU16" s="748">
        <v>70</v>
      </c>
      <c r="AV16" s="748"/>
      <c r="AW16" s="748"/>
      <c r="AX16" s="748"/>
      <c r="AY16" s="748"/>
      <c r="AZ16" s="748"/>
      <c r="BA16" s="748"/>
      <c r="BB16" s="748"/>
      <c r="BC16" s="743">
        <v>62</v>
      </c>
      <c r="BD16" s="743"/>
      <c r="BE16" s="743"/>
      <c r="BF16" s="743"/>
      <c r="BG16" s="743"/>
      <c r="BH16" s="743"/>
      <c r="BI16" s="743"/>
      <c r="BJ16" s="743"/>
      <c r="BK16" s="743">
        <v>45</v>
      </c>
      <c r="BL16" s="743"/>
      <c r="BM16" s="743"/>
      <c r="BN16" s="743"/>
      <c r="BO16" s="743"/>
      <c r="BP16" s="743"/>
      <c r="BQ16" s="743"/>
      <c r="BR16" s="743"/>
      <c r="BS16" s="748">
        <v>27</v>
      </c>
      <c r="BT16" s="748"/>
      <c r="BU16" s="748"/>
      <c r="BV16" s="748"/>
      <c r="BW16" s="748"/>
      <c r="BX16" s="748"/>
      <c r="BY16" s="748"/>
      <c r="BZ16" s="748"/>
      <c r="CA16" s="748">
        <v>18</v>
      </c>
      <c r="CB16" s="748"/>
      <c r="CC16" s="748"/>
      <c r="CD16" s="748"/>
      <c r="CE16" s="748"/>
      <c r="CF16" s="748"/>
      <c r="CG16" s="748"/>
      <c r="CH16" s="748"/>
      <c r="CI16" s="366"/>
      <c r="CJ16" s="366"/>
    </row>
    <row r="17" spans="1:113" ht="11.25" customHeight="1">
      <c r="A17" s="366"/>
      <c r="B17" s="366"/>
      <c r="C17" s="366"/>
      <c r="D17" s="366"/>
      <c r="E17" s="366"/>
      <c r="F17" s="367" t="s">
        <v>327</v>
      </c>
      <c r="G17" s="366"/>
      <c r="H17" s="366"/>
      <c r="I17" s="366"/>
      <c r="J17" s="366"/>
      <c r="K17" s="366"/>
      <c r="L17" s="366"/>
      <c r="M17" s="366"/>
      <c r="N17" s="366"/>
      <c r="O17" s="366"/>
      <c r="P17" s="366"/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6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6"/>
      <c r="AW17" s="366"/>
      <c r="AX17" s="366"/>
      <c r="AY17" s="366"/>
      <c r="AZ17" s="366"/>
      <c r="BA17" s="366" t="s">
        <v>328</v>
      </c>
      <c r="BB17" s="755">
        <v>49</v>
      </c>
      <c r="BC17" s="756"/>
      <c r="BD17" s="367" t="s">
        <v>49</v>
      </c>
      <c r="BE17" s="753">
        <v>50.26721761190565</v>
      </c>
      <c r="BF17" s="753"/>
      <c r="BG17" s="753"/>
      <c r="BH17" s="398" t="s">
        <v>181</v>
      </c>
      <c r="BI17" s="366" t="s">
        <v>48</v>
      </c>
      <c r="BJ17" s="756">
        <v>49</v>
      </c>
      <c r="BK17" s="756"/>
      <c r="BL17" s="367" t="s">
        <v>49</v>
      </c>
      <c r="BM17" s="753">
        <v>50.76721761190565</v>
      </c>
      <c r="BN17" s="753"/>
      <c r="BO17" s="753"/>
      <c r="BP17" s="398" t="s">
        <v>181</v>
      </c>
      <c r="BQ17" s="366" t="s">
        <v>329</v>
      </c>
      <c r="BR17" s="366"/>
      <c r="BS17" s="366"/>
      <c r="BT17" s="366"/>
      <c r="BU17" s="366"/>
      <c r="BV17" s="366"/>
      <c r="BW17" s="366"/>
      <c r="BX17" s="366"/>
      <c r="BY17" s="366"/>
      <c r="BZ17" s="366"/>
      <c r="CA17" s="366"/>
      <c r="CB17" s="366"/>
      <c r="CC17" s="366"/>
      <c r="CD17" s="366"/>
      <c r="CE17" s="366"/>
      <c r="CF17" s="366"/>
      <c r="CG17" s="366"/>
      <c r="CH17" s="366"/>
      <c r="CI17" s="366"/>
      <c r="CJ17" s="366"/>
    </row>
    <row r="18" spans="1:113" ht="11.25" customHeight="1">
      <c r="A18" s="366"/>
      <c r="B18" s="366"/>
      <c r="C18" s="366"/>
      <c r="D18" s="366"/>
      <c r="E18" s="366"/>
      <c r="F18" s="367" t="s">
        <v>330</v>
      </c>
      <c r="G18" s="366"/>
      <c r="H18" s="366"/>
      <c r="I18" s="366"/>
      <c r="J18" s="366"/>
      <c r="K18" s="366"/>
      <c r="L18" s="366"/>
      <c r="M18" s="366"/>
      <c r="N18" s="366"/>
      <c r="O18" s="366"/>
      <c r="P18" s="366"/>
      <c r="Q18" s="366"/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6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6"/>
      <c r="AX18" s="366"/>
      <c r="AY18" s="366"/>
      <c r="AZ18" s="366"/>
      <c r="BA18" s="366"/>
      <c r="BB18" s="366"/>
      <c r="BC18" s="366"/>
      <c r="BD18" s="366"/>
      <c r="BE18" s="366"/>
      <c r="BF18" s="366"/>
      <c r="BG18" s="366"/>
      <c r="BH18" s="366"/>
      <c r="BI18" s="366"/>
      <c r="BJ18" s="366"/>
      <c r="BK18" s="366"/>
      <c r="BL18" s="366"/>
      <c r="BM18" s="366"/>
      <c r="BN18" s="366"/>
      <c r="BO18" s="366"/>
      <c r="BP18" s="366"/>
      <c r="BQ18" s="366"/>
      <c r="BR18" s="366"/>
      <c r="BS18" s="366"/>
      <c r="BT18" s="366"/>
      <c r="BU18" s="366"/>
      <c r="BV18" s="366"/>
      <c r="BW18" s="366"/>
      <c r="BX18" s="366"/>
      <c r="BY18" s="366"/>
      <c r="BZ18" s="366"/>
      <c r="CA18" s="366"/>
      <c r="CB18" s="366"/>
      <c r="CC18" s="366"/>
      <c r="CD18" s="366"/>
      <c r="CE18" s="366"/>
      <c r="CF18" s="366"/>
      <c r="CG18" s="366"/>
      <c r="CH18" s="366"/>
      <c r="CI18" s="366"/>
      <c r="CJ18" s="366"/>
    </row>
    <row r="19" spans="1:113" ht="11.25" customHeight="1">
      <c r="A19" s="366"/>
      <c r="B19" s="366"/>
      <c r="C19" s="366"/>
      <c r="D19" s="366"/>
      <c r="E19" s="366"/>
      <c r="F19" s="366"/>
      <c r="G19" s="366"/>
      <c r="H19" s="367" t="s">
        <v>331</v>
      </c>
      <c r="I19" s="366"/>
      <c r="J19" s="366"/>
      <c r="K19" s="366"/>
      <c r="L19" s="366"/>
      <c r="M19" s="366"/>
      <c r="N19" s="366"/>
      <c r="O19" s="366"/>
      <c r="P19" s="366"/>
      <c r="Q19" s="366"/>
      <c r="R19" s="366"/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6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6"/>
      <c r="AY19" s="753">
        <v>75.080051799712237</v>
      </c>
      <c r="AZ19" s="753"/>
      <c r="BA19" s="753"/>
      <c r="BB19" s="753"/>
      <c r="BC19" s="753"/>
      <c r="BD19" s="366" t="s">
        <v>66</v>
      </c>
      <c r="BE19" s="366"/>
      <c r="BF19" s="366"/>
      <c r="BG19" s="366"/>
      <c r="BH19" s="366"/>
      <c r="BI19" s="366"/>
      <c r="BJ19" s="366"/>
      <c r="BK19" s="366"/>
      <c r="BL19" s="366"/>
      <c r="BM19" s="366"/>
      <c r="BN19" s="366"/>
      <c r="BO19" s="366"/>
      <c r="BP19" s="366"/>
      <c r="BQ19" s="366"/>
      <c r="BR19" s="366"/>
      <c r="BS19" s="366"/>
      <c r="BT19" s="366"/>
      <c r="BU19" s="366"/>
      <c r="BV19" s="366"/>
      <c r="BW19" s="366"/>
      <c r="BX19" s="366"/>
      <c r="BY19" s="366"/>
      <c r="BZ19" s="366"/>
      <c r="CA19" s="366"/>
      <c r="CB19" s="366"/>
      <c r="CC19" s="366"/>
      <c r="CD19" s="366"/>
      <c r="CE19" s="366"/>
      <c r="CF19" s="366"/>
      <c r="CG19" s="366"/>
      <c r="CH19" s="366"/>
      <c r="CI19" s="366"/>
      <c r="CJ19" s="366"/>
    </row>
    <row r="20" spans="1:113" ht="11.25" customHeight="1">
      <c r="A20" s="366"/>
      <c r="B20" s="366"/>
      <c r="C20" s="366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6"/>
      <c r="AZ20" s="366"/>
      <c r="BA20" s="366"/>
      <c r="BB20" s="366"/>
      <c r="BC20" s="366"/>
      <c r="BD20" s="366"/>
      <c r="BE20" s="366"/>
      <c r="BF20" s="366"/>
      <c r="BG20" s="366"/>
      <c r="BH20" s="366"/>
      <c r="BI20" s="366"/>
      <c r="BJ20" s="366"/>
      <c r="BK20" s="366"/>
      <c r="BL20" s="366"/>
      <c r="BM20" s="366"/>
      <c r="BN20" s="366"/>
      <c r="BO20" s="366"/>
      <c r="BP20" s="366"/>
      <c r="BQ20" s="366"/>
      <c r="BR20" s="366"/>
      <c r="BS20" s="366"/>
      <c r="BT20" s="366"/>
      <c r="BU20" s="366"/>
      <c r="BV20" s="366"/>
      <c r="BW20" s="366"/>
      <c r="BX20" s="366"/>
      <c r="BY20" s="366"/>
      <c r="BZ20" s="366"/>
      <c r="CA20" s="366"/>
      <c r="CB20" s="366"/>
      <c r="CC20" s="366"/>
      <c r="CD20" s="366"/>
      <c r="CE20" s="366"/>
      <c r="CF20" s="366"/>
      <c r="CG20" s="366"/>
      <c r="CH20" s="366"/>
      <c r="CI20" s="366"/>
      <c r="CJ20" s="366"/>
    </row>
    <row r="21" spans="1:113" ht="11.25" customHeight="1">
      <c r="A21" s="366"/>
      <c r="B21" s="367" t="s">
        <v>332</v>
      </c>
      <c r="C21" s="366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6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6"/>
      <c r="BA21" s="366"/>
      <c r="BB21" s="366"/>
      <c r="BC21" s="366"/>
      <c r="BD21" s="366"/>
      <c r="BE21" s="366"/>
      <c r="BF21" s="366"/>
      <c r="BG21" s="366"/>
      <c r="BH21" s="366"/>
      <c r="BI21" s="366"/>
      <c r="BJ21" s="366"/>
      <c r="BK21" s="366"/>
      <c r="BL21" s="366"/>
      <c r="BM21" s="366"/>
      <c r="BN21" s="366"/>
      <c r="BO21" s="366"/>
      <c r="BP21" s="366"/>
      <c r="BQ21" s="366"/>
      <c r="BR21" s="366"/>
      <c r="BS21" s="366"/>
      <c r="BT21" s="366"/>
      <c r="BU21" s="366"/>
      <c r="BV21" s="366"/>
      <c r="BW21" s="366"/>
      <c r="BX21" s="366"/>
      <c r="BY21" s="366"/>
      <c r="BZ21" s="366"/>
      <c r="CA21" s="366"/>
      <c r="CB21" s="366"/>
      <c r="CC21" s="366"/>
      <c r="CD21" s="366"/>
      <c r="CE21" s="366"/>
      <c r="CF21" s="366"/>
      <c r="CG21" s="366"/>
      <c r="CH21" s="366"/>
      <c r="CI21" s="366"/>
      <c r="CJ21" s="366"/>
    </row>
    <row r="22" spans="1:113" ht="11.25" customHeight="1">
      <c r="A22" s="366"/>
      <c r="B22" s="366"/>
      <c r="C22" s="366"/>
      <c r="D22" s="366"/>
      <c r="E22" s="366"/>
      <c r="F22" s="367" t="s">
        <v>333</v>
      </c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6"/>
      <c r="T22" s="366"/>
      <c r="U22" s="366"/>
      <c r="V22" s="366"/>
      <c r="W22" s="366"/>
      <c r="X22" s="366"/>
      <c r="Y22" s="366"/>
      <c r="Z22" s="366"/>
      <c r="AA22" s="366"/>
      <c r="AB22" s="366"/>
      <c r="AC22" s="366"/>
      <c r="AD22" s="366"/>
      <c r="AE22" s="366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7" t="s">
        <v>334</v>
      </c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6"/>
      <c r="BB22" s="366"/>
      <c r="BC22" s="366"/>
      <c r="BD22" s="366"/>
      <c r="BE22" s="366"/>
      <c r="BF22" s="366"/>
      <c r="BG22" s="366"/>
      <c r="BH22" s="366"/>
      <c r="BI22" s="366"/>
      <c r="BJ22" s="366"/>
      <c r="BK22" s="366"/>
      <c r="BL22" s="366"/>
      <c r="BM22" s="366"/>
      <c r="BN22" s="366"/>
      <c r="BO22" s="366"/>
      <c r="BP22" s="366"/>
      <c r="BQ22" s="366"/>
      <c r="BR22" s="366"/>
      <c r="BS22" s="366"/>
      <c r="BT22" s="366"/>
      <c r="BU22" s="366"/>
      <c r="BV22" s="366"/>
      <c r="BW22" s="366"/>
      <c r="BX22" s="366"/>
      <c r="BY22" s="366"/>
      <c r="BZ22" s="366"/>
      <c r="CA22" s="366"/>
      <c r="CB22" s="366"/>
      <c r="CC22" s="366"/>
      <c r="CD22" s="366"/>
      <c r="CE22" s="366"/>
      <c r="CF22" s="366"/>
      <c r="CG22" s="366"/>
      <c r="CH22" s="366"/>
      <c r="CI22" s="366"/>
      <c r="CJ22" s="366"/>
    </row>
    <row r="23" spans="1:113" ht="11.25" customHeight="1">
      <c r="A23" s="366"/>
      <c r="B23" s="366"/>
      <c r="C23" s="366"/>
      <c r="D23" s="366"/>
      <c r="E23" s="366"/>
      <c r="F23" s="366"/>
      <c r="G23" s="366"/>
      <c r="H23" s="367" t="s">
        <v>363</v>
      </c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6"/>
      <c r="X23" s="366"/>
      <c r="Y23" s="366"/>
      <c r="Z23" s="366"/>
      <c r="AA23" s="366"/>
      <c r="AB23" s="366"/>
      <c r="AC23" s="366"/>
      <c r="AD23" s="366"/>
      <c r="AE23" s="366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6"/>
      <c r="BC23" s="366"/>
      <c r="BD23" s="366"/>
      <c r="BE23" s="366"/>
      <c r="BF23" s="367"/>
      <c r="BG23" s="366"/>
      <c r="BH23" s="366"/>
      <c r="BI23" s="366"/>
      <c r="BJ23" s="366"/>
      <c r="BK23" s="366"/>
      <c r="BL23" s="366"/>
      <c r="BM23" s="366"/>
      <c r="BN23" s="366"/>
      <c r="BO23" s="366"/>
      <c r="BP23" s="366"/>
      <c r="BQ23" s="366"/>
      <c r="BR23" s="366"/>
      <c r="BS23" s="366"/>
      <c r="BT23" s="366"/>
      <c r="BU23" s="366"/>
      <c r="BV23" s="366"/>
      <c r="BW23" s="366"/>
      <c r="BX23" s="366"/>
      <c r="BY23" s="366"/>
      <c r="BZ23" s="366"/>
      <c r="CA23" s="366"/>
      <c r="CB23" s="366"/>
      <c r="CC23" s="366"/>
      <c r="CD23" s="366"/>
      <c r="CE23" s="366"/>
      <c r="CF23" s="366"/>
      <c r="CG23" s="366"/>
      <c r="CH23" s="366"/>
      <c r="CI23" s="366"/>
      <c r="CJ23" s="366"/>
    </row>
    <row r="24" spans="1:113" ht="11.25" customHeight="1">
      <c r="A24" s="366"/>
      <c r="B24" s="366"/>
      <c r="C24" s="366"/>
      <c r="D24" s="366"/>
      <c r="E24" s="366"/>
      <c r="F24" s="366"/>
      <c r="G24" s="366"/>
      <c r="H24" s="367" t="s">
        <v>364</v>
      </c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6"/>
      <c r="W24" s="366"/>
      <c r="X24" s="366"/>
      <c r="Y24" s="366"/>
      <c r="Z24" s="366"/>
      <c r="AA24" s="366"/>
      <c r="AB24" s="366"/>
      <c r="AC24" s="366"/>
      <c r="AD24" s="366"/>
      <c r="AE24" s="366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6"/>
      <c r="BD24" s="366"/>
      <c r="BE24" s="366"/>
      <c r="BF24" s="366"/>
      <c r="BG24" s="366"/>
      <c r="BH24" s="367"/>
      <c r="BI24" s="366"/>
      <c r="BJ24" s="366"/>
      <c r="BK24" s="366"/>
      <c r="BL24" s="366"/>
      <c r="BM24" s="366"/>
      <c r="BN24" s="366"/>
      <c r="BO24" s="366"/>
      <c r="BP24" s="366"/>
      <c r="BQ24" s="366"/>
      <c r="BR24" s="366"/>
      <c r="BS24" s="366"/>
      <c r="BT24" s="366"/>
      <c r="BU24" s="366"/>
      <c r="BV24" s="366"/>
      <c r="BW24" s="366"/>
      <c r="BX24" s="366"/>
      <c r="BY24" s="366"/>
      <c r="BZ24" s="366"/>
      <c r="CA24" s="366"/>
      <c r="CB24" s="366"/>
      <c r="CC24" s="366"/>
      <c r="CD24" s="366"/>
      <c r="CE24" s="366"/>
      <c r="CF24" s="366"/>
      <c r="CG24" s="366"/>
      <c r="CH24" s="366"/>
      <c r="CI24" s="366"/>
      <c r="CJ24" s="366"/>
    </row>
    <row r="25" spans="1:113" ht="11.25" customHeight="1">
      <c r="A25" s="366"/>
      <c r="B25" s="366"/>
      <c r="C25" s="366"/>
      <c r="D25" s="366"/>
      <c r="E25" s="366"/>
      <c r="F25" s="366"/>
      <c r="G25" s="727" t="s">
        <v>335</v>
      </c>
      <c r="H25" s="728"/>
      <c r="I25" s="728"/>
      <c r="J25" s="728"/>
      <c r="K25" s="728"/>
      <c r="L25" s="728"/>
      <c r="M25" s="728"/>
      <c r="N25" s="728"/>
      <c r="O25" s="728"/>
      <c r="P25" s="728"/>
      <c r="Q25" s="728"/>
      <c r="R25" s="728"/>
      <c r="S25" s="728"/>
      <c r="T25" s="728"/>
      <c r="U25" s="728"/>
      <c r="V25" s="728"/>
      <c r="W25" s="728"/>
      <c r="X25" s="728"/>
      <c r="Y25" s="728"/>
      <c r="Z25" s="728"/>
      <c r="AA25" s="728"/>
      <c r="AB25" s="728"/>
      <c r="AC25" s="728"/>
      <c r="AD25" s="754"/>
      <c r="AE25" s="743" t="s">
        <v>336</v>
      </c>
      <c r="AF25" s="743"/>
      <c r="AG25" s="743"/>
      <c r="AH25" s="743"/>
      <c r="AI25" s="743"/>
      <c r="AJ25" s="743"/>
      <c r="AK25" s="743"/>
      <c r="AL25" s="743"/>
      <c r="AM25" s="743" t="s">
        <v>337</v>
      </c>
      <c r="AN25" s="743"/>
      <c r="AO25" s="743"/>
      <c r="AP25" s="743"/>
      <c r="AQ25" s="743"/>
      <c r="AR25" s="743"/>
      <c r="AS25" s="743"/>
      <c r="AT25" s="743"/>
      <c r="AU25" s="743" t="s">
        <v>338</v>
      </c>
      <c r="AV25" s="743"/>
      <c r="AW25" s="743"/>
      <c r="AX25" s="743"/>
      <c r="AY25" s="743"/>
      <c r="AZ25" s="743"/>
      <c r="BA25" s="743"/>
      <c r="BB25" s="743"/>
      <c r="BC25" s="743" t="s">
        <v>339</v>
      </c>
      <c r="BD25" s="743"/>
      <c r="BE25" s="743"/>
      <c r="BF25" s="743"/>
      <c r="BG25" s="743"/>
      <c r="BH25" s="743"/>
      <c r="BI25" s="743"/>
      <c r="BJ25" s="743"/>
      <c r="BK25" s="366"/>
      <c r="CJ25" s="366"/>
      <c r="CL25" s="366"/>
      <c r="CM25" s="366"/>
      <c r="CN25" s="366"/>
      <c r="CO25" s="366"/>
      <c r="CP25" s="366"/>
      <c r="CQ25" s="366"/>
      <c r="CR25" s="366"/>
      <c r="CS25" s="366"/>
      <c r="CT25" s="366"/>
      <c r="CU25" s="366"/>
      <c r="CV25" s="366"/>
      <c r="CW25" s="366"/>
      <c r="CX25" s="366"/>
      <c r="CY25" s="366"/>
      <c r="CZ25" s="366"/>
      <c r="DA25" s="366"/>
      <c r="DB25" s="366"/>
      <c r="DC25" s="366"/>
      <c r="DD25" s="366"/>
      <c r="DE25" s="366"/>
      <c r="DF25" s="366"/>
      <c r="DG25" s="366"/>
      <c r="DH25" s="366"/>
      <c r="DI25" s="366"/>
    </row>
    <row r="26" spans="1:113" ht="11.25" customHeight="1">
      <c r="A26" s="366"/>
      <c r="B26" s="366"/>
      <c r="C26" s="366"/>
      <c r="D26" s="366"/>
      <c r="E26" s="366"/>
      <c r="F26" s="366"/>
      <c r="G26" s="757" t="s">
        <v>340</v>
      </c>
      <c r="H26" s="757"/>
      <c r="I26" s="757"/>
      <c r="J26" s="757"/>
      <c r="K26" s="757"/>
      <c r="L26" s="757"/>
      <c r="M26" s="757"/>
      <c r="N26" s="757"/>
      <c r="O26" s="760" t="s">
        <v>341</v>
      </c>
      <c r="P26" s="757"/>
      <c r="Q26" s="757"/>
      <c r="R26" s="757"/>
      <c r="S26" s="757"/>
      <c r="T26" s="757"/>
      <c r="U26" s="757"/>
      <c r="V26" s="761"/>
      <c r="W26" s="757" t="s">
        <v>342</v>
      </c>
      <c r="X26" s="757"/>
      <c r="Y26" s="757"/>
      <c r="Z26" s="757"/>
      <c r="AA26" s="757"/>
      <c r="AB26" s="757"/>
      <c r="AC26" s="757"/>
      <c r="AD26" s="757"/>
      <c r="AE26" s="760" t="s">
        <v>343</v>
      </c>
      <c r="AF26" s="757"/>
      <c r="AG26" s="757"/>
      <c r="AH26" s="757"/>
      <c r="AI26" s="757"/>
      <c r="AJ26" s="757"/>
      <c r="AK26" s="757"/>
      <c r="AL26" s="761"/>
      <c r="AM26" s="757" t="s">
        <v>342</v>
      </c>
      <c r="AN26" s="757"/>
      <c r="AO26" s="757"/>
      <c r="AP26" s="757"/>
      <c r="AQ26" s="757"/>
      <c r="AR26" s="757"/>
      <c r="AS26" s="757"/>
      <c r="AT26" s="757"/>
      <c r="AU26" s="760" t="s">
        <v>343</v>
      </c>
      <c r="AV26" s="757"/>
      <c r="AW26" s="757"/>
      <c r="AX26" s="757"/>
      <c r="AY26" s="757"/>
      <c r="AZ26" s="757"/>
      <c r="BA26" s="757"/>
      <c r="BB26" s="761"/>
      <c r="BC26" s="757" t="s">
        <v>342</v>
      </c>
      <c r="BD26" s="757"/>
      <c r="BE26" s="757"/>
      <c r="BF26" s="757"/>
      <c r="BG26" s="757"/>
      <c r="BH26" s="757"/>
      <c r="BI26" s="757"/>
      <c r="BJ26" s="757"/>
      <c r="BK26" s="366"/>
      <c r="CJ26" s="366"/>
      <c r="CL26" s="366"/>
      <c r="CM26" s="366"/>
      <c r="CN26" s="366"/>
      <c r="CO26" s="366"/>
      <c r="CP26" s="366"/>
      <c r="CQ26" s="366"/>
      <c r="CR26" s="366"/>
      <c r="CS26" s="366"/>
      <c r="CT26" s="366"/>
      <c r="CU26" s="366"/>
      <c r="CV26" s="366"/>
      <c r="CW26" s="366"/>
      <c r="CX26" s="366"/>
      <c r="CY26" s="366"/>
      <c r="CZ26" s="366"/>
      <c r="DA26" s="366"/>
      <c r="DB26" s="366"/>
      <c r="DC26" s="366"/>
      <c r="DD26" s="366"/>
      <c r="DE26" s="366"/>
      <c r="DF26" s="366"/>
      <c r="DG26" s="366"/>
      <c r="DH26" s="366"/>
      <c r="DI26" s="366"/>
    </row>
    <row r="27" spans="1:113" ht="11.25" customHeight="1">
      <c r="A27" s="366"/>
      <c r="B27" s="366"/>
      <c r="C27" s="366"/>
      <c r="D27" s="366"/>
      <c r="E27" s="366"/>
      <c r="F27" s="366"/>
      <c r="G27" s="758">
        <v>174</v>
      </c>
      <c r="H27" s="739"/>
      <c r="I27" s="739"/>
      <c r="J27" s="473" t="s">
        <v>49</v>
      </c>
      <c r="K27" s="759">
        <v>16.830657807177687</v>
      </c>
      <c r="L27" s="759"/>
      <c r="M27" s="759"/>
      <c r="N27" s="368" t="s">
        <v>181</v>
      </c>
      <c r="O27" s="739">
        <v>174</v>
      </c>
      <c r="P27" s="739"/>
      <c r="Q27" s="739"/>
      <c r="R27" s="473" t="s">
        <v>49</v>
      </c>
      <c r="S27" s="759">
        <v>6.4227029264927182</v>
      </c>
      <c r="T27" s="759"/>
      <c r="U27" s="759"/>
      <c r="V27" s="369" t="s">
        <v>181</v>
      </c>
      <c r="W27" s="758">
        <v>174</v>
      </c>
      <c r="X27" s="739"/>
      <c r="Y27" s="739"/>
      <c r="Z27" s="473" t="s">
        <v>49</v>
      </c>
      <c r="AA27" s="759">
        <v>55.648031079850625</v>
      </c>
      <c r="AB27" s="759"/>
      <c r="AC27" s="759"/>
      <c r="AD27" s="368" t="s">
        <v>181</v>
      </c>
      <c r="AE27" s="739">
        <v>174</v>
      </c>
      <c r="AF27" s="739"/>
      <c r="AG27" s="739"/>
      <c r="AH27" s="473" t="s">
        <v>49</v>
      </c>
      <c r="AI27" s="759">
        <v>25.375914502213845</v>
      </c>
      <c r="AJ27" s="759"/>
      <c r="AK27" s="759"/>
      <c r="AL27" s="369" t="s">
        <v>181</v>
      </c>
      <c r="AM27" s="758">
        <v>174</v>
      </c>
      <c r="AN27" s="739"/>
      <c r="AO27" s="739"/>
      <c r="AP27" s="473" t="s">
        <v>49</v>
      </c>
      <c r="AQ27" s="759">
        <v>32.235636602663931</v>
      </c>
      <c r="AR27" s="759"/>
      <c r="AS27" s="759"/>
      <c r="AT27" s="368" t="s">
        <v>181</v>
      </c>
      <c r="AU27" s="739">
        <v>173</v>
      </c>
      <c r="AV27" s="739"/>
      <c r="AW27" s="739"/>
      <c r="AX27" s="473" t="s">
        <v>49</v>
      </c>
      <c r="AY27" s="759">
        <v>1.84402848983882</v>
      </c>
      <c r="AZ27" s="759"/>
      <c r="BA27" s="759"/>
      <c r="BB27" s="369" t="s">
        <v>181</v>
      </c>
      <c r="BC27" s="758">
        <v>173</v>
      </c>
      <c r="BD27" s="739"/>
      <c r="BE27" s="739"/>
      <c r="BF27" s="473" t="s">
        <v>49</v>
      </c>
      <c r="BG27" s="759">
        <v>40.06003884979873</v>
      </c>
      <c r="BH27" s="759"/>
      <c r="BI27" s="759"/>
      <c r="BJ27" s="368" t="s">
        <v>181</v>
      </c>
      <c r="BK27" s="366"/>
      <c r="BL27" s="604"/>
      <c r="BM27" s="604"/>
      <c r="BN27" s="604"/>
      <c r="BO27" s="604"/>
      <c r="BP27" s="604"/>
      <c r="BQ27" s="604"/>
      <c r="BR27" s="604"/>
      <c r="BS27" s="604"/>
      <c r="BT27" s="604"/>
      <c r="BU27" s="604"/>
      <c r="BV27" s="604"/>
      <c r="BW27" s="604"/>
      <c r="BX27" s="604"/>
      <c r="BY27" s="604"/>
      <c r="BZ27" s="604"/>
      <c r="CA27" s="604"/>
      <c r="CB27" s="604"/>
      <c r="CC27" s="604"/>
      <c r="CD27" s="604"/>
      <c r="CE27" s="604"/>
      <c r="CF27" s="604"/>
      <c r="CG27" s="604"/>
      <c r="CJ27" s="366"/>
      <c r="CL27" s="366"/>
      <c r="CM27" s="366"/>
      <c r="CN27" s="366"/>
      <c r="CO27" s="366"/>
      <c r="CP27" s="366"/>
      <c r="CQ27" s="366"/>
      <c r="CR27" s="366"/>
      <c r="CS27" s="366"/>
      <c r="CT27" s="366"/>
      <c r="CU27" s="366"/>
      <c r="CV27" s="366"/>
      <c r="CW27" s="366"/>
      <c r="CX27" s="366"/>
      <c r="CY27" s="366"/>
      <c r="CZ27" s="366"/>
      <c r="DA27" s="366"/>
      <c r="DB27" s="366"/>
      <c r="DC27" s="366"/>
      <c r="DD27" s="366"/>
      <c r="DE27" s="366"/>
      <c r="DF27" s="366"/>
      <c r="DG27" s="366"/>
      <c r="DH27" s="366"/>
      <c r="DI27" s="366"/>
    </row>
    <row r="28" spans="1:113" ht="11.25" customHeight="1">
      <c r="A28" s="366"/>
      <c r="B28" s="366"/>
      <c r="C28" s="366"/>
      <c r="D28" s="366"/>
      <c r="E28" s="366"/>
      <c r="F28" s="367" t="s">
        <v>344</v>
      </c>
      <c r="G28" s="552"/>
      <c r="H28" s="552"/>
      <c r="I28" s="552"/>
      <c r="J28" s="552"/>
      <c r="K28" s="552"/>
      <c r="L28" s="552"/>
      <c r="M28" s="552"/>
      <c r="N28" s="552"/>
      <c r="O28" s="552"/>
      <c r="P28" s="552"/>
      <c r="Q28" s="552"/>
      <c r="R28" s="552"/>
      <c r="S28" s="552"/>
      <c r="T28" s="552"/>
      <c r="U28" s="552"/>
      <c r="V28" s="552"/>
      <c r="W28" s="552"/>
      <c r="X28" s="552"/>
      <c r="Y28" s="552"/>
      <c r="Z28" s="552"/>
      <c r="AA28" s="552"/>
      <c r="AB28" s="552"/>
      <c r="AC28" s="552"/>
      <c r="AD28" s="552"/>
      <c r="AE28" s="552"/>
      <c r="AF28" s="552"/>
      <c r="AG28" s="552"/>
      <c r="AH28" s="552"/>
      <c r="AI28" s="552"/>
      <c r="AJ28" s="552"/>
      <c r="AK28" s="552"/>
      <c r="AL28" s="552"/>
      <c r="AM28" s="552"/>
      <c r="AN28" s="552"/>
      <c r="AO28" s="552"/>
      <c r="AP28" s="552"/>
      <c r="AQ28" s="552"/>
      <c r="AR28" s="552"/>
      <c r="AS28" s="552"/>
      <c r="AT28" s="552"/>
      <c r="AU28" s="552"/>
      <c r="AV28" s="552"/>
      <c r="AW28" s="552"/>
      <c r="AX28" s="552"/>
      <c r="AY28" s="552"/>
      <c r="AZ28" s="552"/>
      <c r="BA28" s="552"/>
      <c r="BB28" s="552"/>
      <c r="BC28" s="552"/>
      <c r="BD28" s="552"/>
      <c r="BE28" s="552"/>
      <c r="BF28" s="552"/>
      <c r="BG28" s="552"/>
      <c r="BH28" s="552"/>
      <c r="BI28" s="552"/>
      <c r="BJ28" s="552"/>
      <c r="BK28" s="366"/>
      <c r="BL28" s="553"/>
      <c r="BM28" s="553"/>
      <c r="BN28" s="553"/>
      <c r="BO28" s="553"/>
      <c r="BP28" s="553"/>
      <c r="BQ28" s="639"/>
      <c r="BR28" s="640"/>
      <c r="BS28" s="640"/>
      <c r="BT28" s="640"/>
      <c r="BU28" s="641"/>
      <c r="BV28" s="642"/>
      <c r="BW28" s="640"/>
      <c r="BX28" s="641"/>
      <c r="BY28" s="643"/>
      <c r="BZ28" s="640"/>
      <c r="CA28" s="553"/>
      <c r="CB28" s="640"/>
      <c r="CC28" s="640">
        <v>-0.71669372707848333</v>
      </c>
      <c r="CD28" s="640">
        <v>138.93647423490202</v>
      </c>
      <c r="CE28" s="604"/>
      <c r="CF28" s="604"/>
      <c r="CG28" s="604"/>
      <c r="CJ28" s="366"/>
      <c r="DE28" s="366"/>
      <c r="DF28" s="366"/>
      <c r="DG28" s="366"/>
      <c r="DH28" s="366"/>
      <c r="DI28" s="366"/>
    </row>
    <row r="29" spans="1:113" ht="11.25" customHeight="1">
      <c r="A29" s="366"/>
      <c r="B29" s="366"/>
      <c r="C29" s="366"/>
      <c r="D29" s="366"/>
      <c r="E29" s="366"/>
      <c r="F29" s="366"/>
      <c r="G29" s="727" t="s">
        <v>342</v>
      </c>
      <c r="H29" s="728"/>
      <c r="I29" s="728"/>
      <c r="J29" s="728"/>
      <c r="K29" s="728"/>
      <c r="L29" s="728"/>
      <c r="M29" s="728"/>
      <c r="N29" s="728"/>
      <c r="O29" s="727" t="s">
        <v>425</v>
      </c>
      <c r="P29" s="728"/>
      <c r="Q29" s="728"/>
      <c r="R29" s="728"/>
      <c r="S29" s="728"/>
      <c r="T29" s="728"/>
      <c r="U29" s="728"/>
      <c r="V29" s="754"/>
      <c r="W29" s="727" t="s">
        <v>340</v>
      </c>
      <c r="X29" s="728"/>
      <c r="Y29" s="728"/>
      <c r="Z29" s="728"/>
      <c r="AA29" s="728"/>
      <c r="AB29" s="728"/>
      <c r="AC29" s="728"/>
      <c r="AD29" s="754"/>
      <c r="AE29" s="552"/>
      <c r="AF29" s="552"/>
      <c r="AG29" s="552"/>
      <c r="AH29" s="552"/>
      <c r="AI29" s="552"/>
      <c r="AJ29" s="552"/>
      <c r="AK29" s="552"/>
      <c r="AL29" s="552"/>
      <c r="AM29" s="727" t="s">
        <v>343</v>
      </c>
      <c r="AN29" s="728"/>
      <c r="AO29" s="728"/>
      <c r="AP29" s="728"/>
      <c r="AQ29" s="728"/>
      <c r="AR29" s="728"/>
      <c r="AS29" s="728"/>
      <c r="AT29" s="728"/>
      <c r="AU29" s="727" t="s">
        <v>425</v>
      </c>
      <c r="AV29" s="728"/>
      <c r="AW29" s="728"/>
      <c r="AX29" s="728"/>
      <c r="AY29" s="728"/>
      <c r="AZ29" s="728"/>
      <c r="BA29" s="728"/>
      <c r="BB29" s="754"/>
      <c r="BC29" s="728" t="s">
        <v>340</v>
      </c>
      <c r="BD29" s="728"/>
      <c r="BE29" s="728"/>
      <c r="BF29" s="728"/>
      <c r="BG29" s="728"/>
      <c r="BH29" s="728"/>
      <c r="BI29" s="728"/>
      <c r="BJ29" s="754"/>
      <c r="BK29" s="366"/>
      <c r="BL29" s="553"/>
      <c r="BM29" s="553"/>
      <c r="BN29" s="553"/>
      <c r="BO29" s="553"/>
      <c r="BP29" s="553"/>
      <c r="BQ29" s="639"/>
      <c r="BR29" s="640"/>
      <c r="BS29" s="640"/>
      <c r="BT29" s="640"/>
      <c r="BU29" s="641"/>
      <c r="BV29" s="642"/>
      <c r="BW29" s="640"/>
      <c r="BX29" s="641"/>
      <c r="BY29" s="643"/>
      <c r="BZ29" s="640"/>
      <c r="CA29" s="553"/>
      <c r="CB29" s="640"/>
      <c r="CC29" s="640">
        <v>-0.85703274703138899</v>
      </c>
      <c r="CD29" s="640">
        <v>130.89564069059827</v>
      </c>
      <c r="CE29" s="604"/>
      <c r="CF29" s="604"/>
      <c r="CG29" s="604"/>
      <c r="CJ29" s="366"/>
      <c r="DE29" s="366"/>
      <c r="DF29" s="366"/>
      <c r="DG29" s="366"/>
      <c r="DH29" s="366"/>
      <c r="DI29" s="366"/>
    </row>
    <row r="30" spans="1:113" ht="11.25" customHeight="1">
      <c r="A30" s="366"/>
      <c r="B30" s="366"/>
      <c r="C30" s="366"/>
      <c r="D30" s="366"/>
      <c r="E30" s="366"/>
      <c r="F30" s="366"/>
      <c r="G30" s="765">
        <v>90</v>
      </c>
      <c r="H30" s="766"/>
      <c r="I30" s="766"/>
      <c r="J30" s="473" t="s">
        <v>49</v>
      </c>
      <c r="K30" s="767">
        <v>0</v>
      </c>
      <c r="L30" s="767"/>
      <c r="M30" s="767"/>
      <c r="N30" s="370" t="s">
        <v>181</v>
      </c>
      <c r="O30" s="768">
        <v>128</v>
      </c>
      <c r="P30" s="763"/>
      <c r="Q30" s="763"/>
      <c r="R30" s="473" t="s">
        <v>49</v>
      </c>
      <c r="S30" s="762">
        <v>17.793526111078108</v>
      </c>
      <c r="T30" s="762"/>
      <c r="U30" s="762"/>
      <c r="V30" s="371" t="s">
        <v>181</v>
      </c>
      <c r="W30" s="763">
        <v>176</v>
      </c>
      <c r="X30" s="763"/>
      <c r="Y30" s="763"/>
      <c r="Z30" s="473" t="s">
        <v>49</v>
      </c>
      <c r="AA30" s="762">
        <v>16.862449237179931</v>
      </c>
      <c r="AB30" s="762"/>
      <c r="AC30" s="762"/>
      <c r="AD30" s="371" t="s">
        <v>181</v>
      </c>
      <c r="AE30" s="554"/>
      <c r="AF30" s="554"/>
      <c r="AG30" s="554"/>
      <c r="AH30" s="554"/>
      <c r="AI30" s="554"/>
      <c r="AJ30" s="554"/>
      <c r="AK30" s="554"/>
      <c r="AL30" s="554"/>
      <c r="AM30" s="765">
        <v>90</v>
      </c>
      <c r="AN30" s="766"/>
      <c r="AO30" s="766"/>
      <c r="AP30" s="473" t="s">
        <v>49</v>
      </c>
      <c r="AQ30" s="767">
        <v>0</v>
      </c>
      <c r="AR30" s="767"/>
      <c r="AS30" s="767"/>
      <c r="AT30" s="370" t="s">
        <v>181</v>
      </c>
      <c r="AU30" s="768">
        <v>175</v>
      </c>
      <c r="AV30" s="763"/>
      <c r="AW30" s="763"/>
      <c r="AX30" s="473" t="s">
        <v>49</v>
      </c>
      <c r="AY30" s="762">
        <v>17.795105785199326</v>
      </c>
      <c r="AZ30" s="762"/>
      <c r="BA30" s="762"/>
      <c r="BB30" s="371" t="s">
        <v>181</v>
      </c>
      <c r="BC30" s="763">
        <v>138</v>
      </c>
      <c r="BD30" s="763"/>
      <c r="BE30" s="763"/>
      <c r="BF30" s="473" t="s">
        <v>49</v>
      </c>
      <c r="BG30" s="762">
        <v>56.188454094121312</v>
      </c>
      <c r="BH30" s="762"/>
      <c r="BI30" s="762"/>
      <c r="BJ30" s="371" t="s">
        <v>181</v>
      </c>
      <c r="BK30" s="366"/>
      <c r="BL30" s="553"/>
      <c r="BM30" s="553"/>
      <c r="BN30" s="553"/>
      <c r="BO30" s="553"/>
      <c r="BP30" s="553"/>
      <c r="BQ30" s="639"/>
      <c r="BR30" s="640"/>
      <c r="BS30" s="640"/>
      <c r="BT30" s="640"/>
      <c r="BU30" s="641"/>
      <c r="BV30" s="642"/>
      <c r="BW30" s="640"/>
      <c r="BX30" s="641"/>
      <c r="BY30" s="643"/>
      <c r="BZ30" s="640"/>
      <c r="CA30" s="553"/>
      <c r="CB30" s="640"/>
      <c r="CC30" s="640">
        <v>3.0329020537040803</v>
      </c>
      <c r="CD30" s="640">
        <v>173.77248735380354</v>
      </c>
      <c r="CE30" s="604"/>
      <c r="CF30" s="604"/>
      <c r="CG30" s="604"/>
      <c r="CJ30" s="366"/>
      <c r="DE30" s="366"/>
      <c r="DF30" s="366"/>
      <c r="DG30" s="366"/>
      <c r="DH30" s="366"/>
      <c r="DI30" s="366"/>
    </row>
    <row r="31" spans="1:113" ht="11.25" customHeight="1">
      <c r="A31" s="366"/>
      <c r="B31" s="366"/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6"/>
      <c r="AC31" s="366"/>
      <c r="AD31" s="366"/>
      <c r="AE31" s="366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6"/>
      <c r="BK31" s="366"/>
      <c r="BL31" s="553"/>
      <c r="BM31" s="553"/>
      <c r="BN31" s="553"/>
      <c r="BO31" s="553"/>
      <c r="BP31" s="553"/>
      <c r="BQ31" s="553"/>
      <c r="BR31" s="553"/>
      <c r="BS31" s="553"/>
      <c r="BT31" s="553"/>
      <c r="BU31" s="553"/>
      <c r="BV31" s="553"/>
      <c r="BW31" s="553"/>
      <c r="BX31" s="553"/>
      <c r="BY31" s="553"/>
      <c r="BZ31" s="553"/>
      <c r="CA31" s="553"/>
      <c r="CB31" s="553"/>
      <c r="CC31" s="553"/>
      <c r="CD31" s="553"/>
      <c r="CE31" s="553"/>
      <c r="CF31" s="553"/>
      <c r="CG31" s="553"/>
      <c r="CH31" s="366"/>
      <c r="CI31" s="366"/>
      <c r="CJ31" s="366"/>
    </row>
    <row r="32" spans="1:113" ht="11.25" customHeight="1">
      <c r="A32" s="366"/>
      <c r="B32" s="367" t="s">
        <v>345</v>
      </c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6"/>
      <c r="AD32" s="366"/>
      <c r="AE32" s="366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6"/>
      <c r="BL32" s="553"/>
      <c r="BM32" s="553"/>
      <c r="BN32" s="553"/>
      <c r="BO32" s="553"/>
      <c r="BP32" s="553"/>
      <c r="BQ32" s="553"/>
      <c r="BR32" s="553"/>
      <c r="BS32" s="553"/>
      <c r="BT32" s="610"/>
      <c r="BU32" s="610"/>
      <c r="BV32" s="610"/>
      <c r="BW32" s="610"/>
      <c r="BX32" s="610"/>
      <c r="BY32" s="610"/>
      <c r="BZ32" s="553"/>
      <c r="CA32" s="553"/>
      <c r="CB32" s="553"/>
      <c r="CC32" s="553"/>
      <c r="CD32" s="553"/>
      <c r="CE32" s="553"/>
      <c r="CF32" s="553"/>
      <c r="CG32" s="553"/>
      <c r="CH32" s="366"/>
      <c r="CI32" s="366"/>
      <c r="CJ32" s="366"/>
    </row>
    <row r="33" spans="1:93" ht="11.25" customHeight="1">
      <c r="A33" s="366"/>
      <c r="C33" s="366"/>
      <c r="E33" s="366"/>
      <c r="F33" s="367" t="s">
        <v>346</v>
      </c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6"/>
      <c r="AE33" s="366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6"/>
      <c r="BM33" s="366"/>
      <c r="BN33" s="366"/>
      <c r="BO33" s="366"/>
      <c r="BP33" s="366"/>
      <c r="BQ33" s="366"/>
      <c r="BR33" s="366"/>
      <c r="BS33" s="366"/>
      <c r="BT33" s="610" t="s">
        <v>1</v>
      </c>
      <c r="BU33" s="610" t="s">
        <v>5</v>
      </c>
      <c r="BV33" s="610"/>
      <c r="BW33" s="610"/>
      <c r="BX33" s="610" t="s">
        <v>1</v>
      </c>
      <c r="BY33" s="610" t="s">
        <v>5</v>
      </c>
      <c r="BZ33" s="366"/>
      <c r="CA33" s="366"/>
      <c r="CB33" s="366"/>
      <c r="CC33" s="366"/>
      <c r="CD33" s="366"/>
      <c r="CE33" s="366"/>
      <c r="CF33" s="366"/>
      <c r="CG33" s="366"/>
      <c r="CH33" s="366"/>
      <c r="CI33" s="366"/>
      <c r="CJ33" s="366"/>
    </row>
    <row r="34" spans="1:93" ht="11.25" customHeight="1">
      <c r="A34" s="366"/>
      <c r="C34" s="366"/>
      <c r="E34" s="366"/>
      <c r="F34" s="367" t="s">
        <v>347</v>
      </c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6"/>
      <c r="R34" s="366"/>
      <c r="S34" s="366"/>
      <c r="T34" s="366"/>
      <c r="U34" s="366"/>
      <c r="V34" s="366"/>
      <c r="W34" s="366"/>
      <c r="X34" s="366"/>
      <c r="Y34" s="366"/>
      <c r="Z34" s="366"/>
      <c r="AA34" s="366"/>
      <c r="AB34" s="366"/>
      <c r="AC34" s="366"/>
      <c r="AD34" s="366"/>
      <c r="AE34" s="366"/>
      <c r="AF34" s="366"/>
      <c r="AG34" s="366"/>
      <c r="AH34" s="366"/>
      <c r="AI34" s="366"/>
      <c r="AJ34" s="366"/>
      <c r="AK34" s="366"/>
      <c r="AL34" s="366"/>
      <c r="AM34" s="366"/>
      <c r="AN34" s="366"/>
      <c r="AO34" s="366"/>
      <c r="AP34" s="366"/>
      <c r="AQ34" s="366"/>
      <c r="AR34" s="366"/>
      <c r="AS34" s="366"/>
      <c r="AT34" s="366"/>
      <c r="AU34" s="366"/>
      <c r="AV34" s="366"/>
      <c r="AW34" s="366"/>
      <c r="AX34" s="366"/>
      <c r="AY34" s="366"/>
      <c r="BA34" s="366"/>
      <c r="BB34" s="366"/>
      <c r="BC34" s="366"/>
      <c r="BD34" s="366"/>
      <c r="BE34" s="366"/>
      <c r="BF34" s="366"/>
      <c r="BG34" s="366"/>
      <c r="BH34" s="366"/>
      <c r="BI34" s="366"/>
      <c r="BJ34" s="366"/>
      <c r="BK34" s="366"/>
      <c r="BL34" s="366"/>
      <c r="BM34" s="366"/>
      <c r="BN34" s="366"/>
      <c r="BO34" s="366"/>
      <c r="BP34" s="366"/>
      <c r="BQ34" s="366"/>
      <c r="BR34" s="366"/>
      <c r="BS34" s="366"/>
      <c r="BT34" s="610" t="s">
        <v>2</v>
      </c>
      <c r="BU34" s="610" t="s">
        <v>0</v>
      </c>
      <c r="BV34" s="610"/>
      <c r="BW34" s="610"/>
      <c r="BX34" s="610" t="s">
        <v>2</v>
      </c>
      <c r="BY34" s="610" t="s">
        <v>0</v>
      </c>
      <c r="BZ34" s="366"/>
      <c r="CA34" s="366"/>
      <c r="CB34" s="366"/>
      <c r="CC34" s="366"/>
      <c r="CD34" s="366"/>
      <c r="CE34" s="366"/>
      <c r="CF34" s="366"/>
      <c r="CG34" s="366"/>
      <c r="CH34" s="366"/>
      <c r="CI34" s="366"/>
      <c r="CJ34" s="366"/>
    </row>
    <row r="35" spans="1:93" ht="11.25" customHeight="1">
      <c r="A35" s="366"/>
      <c r="C35" s="366"/>
      <c r="E35" s="366"/>
      <c r="F35" s="367" t="s">
        <v>348</v>
      </c>
      <c r="G35" s="366"/>
      <c r="H35" s="366"/>
      <c r="I35" s="366"/>
      <c r="J35" s="366"/>
      <c r="K35" s="366"/>
      <c r="L35" s="366"/>
      <c r="M35" s="366"/>
      <c r="N35" s="366"/>
      <c r="O35" s="366"/>
      <c r="P35" s="366"/>
      <c r="Q35" s="366"/>
      <c r="R35" s="366"/>
      <c r="S35" s="366"/>
      <c r="T35" s="366"/>
      <c r="U35" s="366"/>
      <c r="V35" s="366"/>
      <c r="W35" s="366"/>
      <c r="X35" s="366"/>
      <c r="Y35" s="366"/>
      <c r="Z35" s="366"/>
      <c r="AA35" s="366"/>
      <c r="AB35" s="366"/>
      <c r="AC35" s="366"/>
      <c r="AD35" s="366"/>
      <c r="AE35" s="366"/>
      <c r="AF35" s="366"/>
      <c r="AG35" s="366"/>
      <c r="AH35" s="366"/>
      <c r="AI35" s="366"/>
      <c r="AJ35" s="366"/>
      <c r="AK35" s="366"/>
      <c r="AL35" s="366"/>
      <c r="AM35" s="366"/>
      <c r="AN35" s="366"/>
      <c r="AO35" s="366"/>
      <c r="AP35" s="366"/>
      <c r="AQ35" s="366"/>
      <c r="AR35" s="366"/>
      <c r="AS35" s="366"/>
      <c r="AT35" s="366"/>
      <c r="AU35" s="366"/>
      <c r="AV35" s="366"/>
      <c r="AW35" s="366"/>
      <c r="AX35" s="366"/>
      <c r="AY35" s="366"/>
      <c r="AZ35" s="367"/>
      <c r="BA35" s="366"/>
      <c r="BB35" s="366"/>
      <c r="BC35" s="366"/>
      <c r="BD35" s="366"/>
      <c r="BE35" s="366"/>
      <c r="BF35" s="366"/>
      <c r="BG35" s="366"/>
      <c r="BH35" s="366"/>
      <c r="BI35" s="366"/>
      <c r="BJ35" s="366"/>
      <c r="BK35" s="366"/>
      <c r="BL35" s="366"/>
      <c r="BM35" s="366"/>
      <c r="BN35" s="366"/>
      <c r="BO35" s="366"/>
      <c r="BP35" s="366"/>
      <c r="BQ35" s="366"/>
      <c r="BR35" s="366"/>
      <c r="BS35" s="366"/>
      <c r="BT35" s="366"/>
      <c r="BU35" s="366"/>
      <c r="BV35" s="366"/>
      <c r="BW35" s="366"/>
      <c r="BX35" s="366"/>
      <c r="BY35" s="366"/>
      <c r="BZ35" s="366"/>
      <c r="CA35" s="366"/>
      <c r="CB35" s="366"/>
      <c r="CC35" s="366"/>
      <c r="CD35" s="366"/>
      <c r="CE35" s="366"/>
      <c r="CF35" s="366"/>
      <c r="CG35" s="366"/>
      <c r="CH35" s="366"/>
      <c r="CI35" s="366"/>
      <c r="CJ35" s="366"/>
    </row>
    <row r="36" spans="1:93" ht="11.25" customHeight="1">
      <c r="A36" s="366"/>
      <c r="C36" s="366"/>
      <c r="E36" s="366"/>
      <c r="F36" s="367" t="s">
        <v>365</v>
      </c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6"/>
      <c r="R36" s="366"/>
      <c r="S36" s="366"/>
      <c r="T36" s="366"/>
      <c r="U36" s="366"/>
      <c r="V36" s="366"/>
      <c r="W36" s="366"/>
      <c r="X36" s="366"/>
      <c r="Y36" s="366"/>
      <c r="Z36" s="366"/>
      <c r="AA36" s="366"/>
      <c r="AB36" s="366"/>
      <c r="AC36" s="366"/>
      <c r="AD36" s="366"/>
      <c r="AE36" s="366"/>
      <c r="AF36" s="366"/>
      <c r="AG36" s="366"/>
      <c r="AH36" s="366"/>
      <c r="AI36" s="366"/>
      <c r="AJ36" s="366"/>
      <c r="AK36" s="366"/>
      <c r="AL36" s="366"/>
      <c r="AM36" s="366"/>
      <c r="AN36" s="366"/>
      <c r="AO36" s="366"/>
      <c r="AP36" s="366"/>
      <c r="AQ36" s="366"/>
      <c r="AR36" s="366"/>
      <c r="AS36" s="366"/>
      <c r="AT36" s="367"/>
      <c r="AU36" s="366"/>
      <c r="AV36" s="366"/>
      <c r="AW36" s="366"/>
      <c r="AX36" s="366"/>
      <c r="AY36" s="366"/>
      <c r="AZ36" s="366"/>
      <c r="BA36" s="366"/>
      <c r="BB36" s="366"/>
      <c r="BC36" s="366"/>
      <c r="BD36" s="366"/>
      <c r="BE36" s="366"/>
      <c r="BF36" s="366"/>
      <c r="BG36" s="366"/>
      <c r="BH36" s="366"/>
      <c r="BI36" s="366"/>
      <c r="BJ36" s="366"/>
      <c r="BK36" s="366"/>
      <c r="BL36" s="366"/>
      <c r="BM36" s="366"/>
      <c r="BN36" s="366"/>
      <c r="BO36" s="366"/>
      <c r="BP36" s="366"/>
      <c r="BQ36" s="366"/>
      <c r="BR36" s="366"/>
      <c r="BS36" s="366"/>
      <c r="BT36" s="366"/>
      <c r="BU36" s="366"/>
      <c r="BV36" s="366"/>
      <c r="BW36" s="366"/>
      <c r="BX36" s="366"/>
      <c r="BY36" s="366"/>
      <c r="BZ36" s="366"/>
      <c r="CB36" s="366"/>
      <c r="CC36" s="366"/>
      <c r="CD36" s="366"/>
      <c r="CE36" s="366"/>
      <c r="CF36" s="366"/>
      <c r="CG36" s="366"/>
      <c r="CH36" s="366"/>
      <c r="CI36" s="366"/>
      <c r="CJ36" s="366"/>
    </row>
    <row r="37" spans="1:93" ht="11.25" customHeight="1">
      <c r="F37" s="366"/>
      <c r="G37" s="764" t="s">
        <v>349</v>
      </c>
      <c r="H37" s="764"/>
      <c r="I37" s="764"/>
      <c r="J37" s="764"/>
      <c r="K37" s="764"/>
      <c r="L37" s="764"/>
      <c r="M37" s="764"/>
      <c r="N37" s="764"/>
      <c r="O37" s="764"/>
      <c r="P37" s="764"/>
      <c r="Q37" s="764"/>
      <c r="R37" s="764"/>
      <c r="S37" s="764"/>
      <c r="T37" s="764"/>
      <c r="U37" s="757" t="s">
        <v>350</v>
      </c>
      <c r="V37" s="757"/>
      <c r="W37" s="757"/>
      <c r="X37" s="757"/>
      <c r="Y37" s="757"/>
      <c r="Z37" s="757"/>
      <c r="AA37" s="757"/>
      <c r="AB37" s="757"/>
      <c r="AC37" s="757"/>
      <c r="AD37" s="757"/>
      <c r="AE37" s="757"/>
      <c r="AF37" s="757"/>
      <c r="AG37" s="757"/>
      <c r="AH37" s="757"/>
      <c r="AI37" s="757" t="s">
        <v>351</v>
      </c>
      <c r="AJ37" s="757"/>
      <c r="AK37" s="757"/>
      <c r="AL37" s="757"/>
      <c r="AM37" s="757"/>
      <c r="AN37" s="757"/>
      <c r="AO37" s="757"/>
      <c r="AP37" s="757"/>
      <c r="AQ37" s="757"/>
      <c r="AR37" s="757"/>
      <c r="AS37" s="757"/>
      <c r="AT37" s="757"/>
      <c r="AU37" s="757"/>
      <c r="AV37" s="757"/>
      <c r="AW37" s="366"/>
      <c r="AX37" s="366"/>
      <c r="AY37" s="367"/>
      <c r="AZ37" s="366"/>
      <c r="BA37" s="366"/>
      <c r="BB37" s="366"/>
      <c r="BC37" s="366"/>
      <c r="BD37" s="366"/>
      <c r="BE37" s="366"/>
      <c r="BF37" s="366"/>
      <c r="BG37" s="366"/>
      <c r="BH37" s="366"/>
      <c r="BI37" s="366"/>
      <c r="BJ37" s="366"/>
      <c r="BK37" s="366"/>
      <c r="BL37" s="366"/>
      <c r="BM37" s="366"/>
      <c r="BN37" s="366"/>
      <c r="BO37" s="366"/>
      <c r="BP37" s="366"/>
      <c r="BQ37" s="366"/>
      <c r="BR37" s="366"/>
      <c r="BS37" s="366"/>
      <c r="BT37" s="366"/>
      <c r="BU37" s="366"/>
      <c r="BV37" s="366"/>
      <c r="BW37" s="366"/>
      <c r="BX37" s="366"/>
      <c r="BY37" s="366"/>
      <c r="BZ37" s="366"/>
      <c r="CB37" s="366"/>
      <c r="CC37" s="366"/>
      <c r="CD37" s="366"/>
      <c r="CE37" s="366"/>
      <c r="CF37" s="366"/>
      <c r="CG37" s="366"/>
      <c r="CH37" s="366"/>
      <c r="CI37" s="366"/>
      <c r="CJ37" s="366"/>
      <c r="CK37" s="366"/>
      <c r="CL37" s="366"/>
      <c r="CM37" s="366"/>
      <c r="CN37" s="366"/>
      <c r="CO37" s="366"/>
    </row>
    <row r="38" spans="1:93" ht="11.25" customHeight="1">
      <c r="F38" s="366"/>
      <c r="G38" s="761" t="s">
        <v>0</v>
      </c>
      <c r="H38" s="755"/>
      <c r="I38" s="755">
        <v>41</v>
      </c>
      <c r="J38" s="755"/>
      <c r="K38" s="755"/>
      <c r="L38" s="372" t="s">
        <v>49</v>
      </c>
      <c r="M38" s="769">
        <v>34.864041439781431</v>
      </c>
      <c r="N38" s="769"/>
      <c r="O38" s="769"/>
      <c r="P38" s="769"/>
      <c r="Q38" s="373" t="s">
        <v>181</v>
      </c>
      <c r="R38" s="755" t="s">
        <v>6</v>
      </c>
      <c r="S38" s="755"/>
      <c r="T38" s="760"/>
      <c r="U38" s="761" t="s">
        <v>1</v>
      </c>
      <c r="V38" s="755"/>
      <c r="W38" s="755">
        <v>37</v>
      </c>
      <c r="X38" s="755"/>
      <c r="Y38" s="755"/>
      <c r="Z38" s="372" t="s">
        <v>49</v>
      </c>
      <c r="AA38" s="769">
        <v>29.668044029764133</v>
      </c>
      <c r="AB38" s="769"/>
      <c r="AC38" s="769"/>
      <c r="AD38" s="769"/>
      <c r="AE38" s="373" t="s">
        <v>181</v>
      </c>
      <c r="AF38" s="755" t="s">
        <v>6</v>
      </c>
      <c r="AG38" s="755"/>
      <c r="AH38" s="760"/>
      <c r="AI38" s="755" t="s">
        <v>2</v>
      </c>
      <c r="AJ38" s="755"/>
      <c r="AK38" s="755">
        <v>34</v>
      </c>
      <c r="AL38" s="755"/>
      <c r="AM38" s="755"/>
      <c r="AN38" s="372" t="s">
        <v>49</v>
      </c>
      <c r="AO38" s="769">
        <v>24.472046619746834</v>
      </c>
      <c r="AP38" s="769"/>
      <c r="AQ38" s="769"/>
      <c r="AR38" s="769"/>
      <c r="AS38" s="373" t="s">
        <v>181</v>
      </c>
      <c r="AT38" s="755" t="s">
        <v>421</v>
      </c>
      <c r="AU38" s="755"/>
      <c r="AV38" s="760"/>
      <c r="AW38" s="366"/>
      <c r="AX38" s="366"/>
      <c r="AY38" s="366"/>
      <c r="AZ38" s="366"/>
      <c r="BA38" s="366"/>
      <c r="BB38" s="366"/>
      <c r="BC38" s="366"/>
      <c r="BD38" s="366"/>
      <c r="BE38" s="366"/>
      <c r="BF38" s="366"/>
      <c r="BG38" s="366"/>
      <c r="BH38" s="366"/>
      <c r="BI38" s="366"/>
      <c r="BJ38" s="366"/>
      <c r="BK38" s="366"/>
      <c r="BL38" s="366"/>
      <c r="BM38" s="366"/>
      <c r="BN38" s="366"/>
      <c r="BO38" s="366"/>
      <c r="BP38" s="366"/>
      <c r="BQ38" s="366"/>
      <c r="BR38" s="366"/>
      <c r="BS38" s="366"/>
      <c r="BT38" s="366"/>
      <c r="BU38" s="366"/>
      <c r="BV38" s="366"/>
      <c r="BW38" s="366"/>
      <c r="BX38" s="366"/>
      <c r="BY38" s="366"/>
      <c r="BZ38" s="366"/>
      <c r="CB38" s="366"/>
      <c r="CC38" s="366"/>
      <c r="CD38" s="366"/>
      <c r="CE38" s="366"/>
      <c r="CF38" s="366"/>
      <c r="CG38" s="366"/>
      <c r="CH38" s="366"/>
      <c r="CI38" s="366"/>
      <c r="CJ38" s="366"/>
      <c r="CK38" s="366"/>
      <c r="CL38" s="366"/>
      <c r="CM38" s="366"/>
      <c r="CN38" s="366"/>
      <c r="CO38" s="366"/>
    </row>
    <row r="39" spans="1:93" ht="11.25" customHeight="1">
      <c r="F39" s="366"/>
      <c r="G39" s="737"/>
      <c r="H39" s="738"/>
      <c r="I39" s="738">
        <v>176</v>
      </c>
      <c r="J39" s="738"/>
      <c r="K39" s="738"/>
      <c r="L39" s="374" t="s">
        <v>49</v>
      </c>
      <c r="M39" s="770">
        <v>19.276049209758639</v>
      </c>
      <c r="N39" s="770"/>
      <c r="O39" s="770"/>
      <c r="P39" s="770"/>
      <c r="Q39" s="375" t="s">
        <v>181</v>
      </c>
      <c r="R39" s="738" t="s">
        <v>61</v>
      </c>
      <c r="S39" s="738"/>
      <c r="T39" s="771"/>
      <c r="U39" s="737"/>
      <c r="V39" s="738"/>
      <c r="W39" s="738">
        <v>175</v>
      </c>
      <c r="X39" s="738"/>
      <c r="Y39" s="738"/>
      <c r="Z39" s="374" t="s">
        <v>49</v>
      </c>
      <c r="AA39" s="770">
        <v>14.080051799712237</v>
      </c>
      <c r="AB39" s="770"/>
      <c r="AC39" s="770"/>
      <c r="AD39" s="770"/>
      <c r="AE39" s="375" t="s">
        <v>181</v>
      </c>
      <c r="AF39" s="738" t="s">
        <v>422</v>
      </c>
      <c r="AG39" s="738"/>
      <c r="AH39" s="771"/>
      <c r="AI39" s="738"/>
      <c r="AJ39" s="738"/>
      <c r="AK39" s="738">
        <v>175</v>
      </c>
      <c r="AL39" s="738"/>
      <c r="AM39" s="738"/>
      <c r="AN39" s="374" t="s">
        <v>49</v>
      </c>
      <c r="AO39" s="772">
        <v>8.8840543897240423</v>
      </c>
      <c r="AP39" s="772"/>
      <c r="AQ39" s="772"/>
      <c r="AR39" s="772"/>
      <c r="AS39" s="606" t="s">
        <v>181</v>
      </c>
      <c r="AT39" s="773" t="s">
        <v>422</v>
      </c>
      <c r="AU39" s="773"/>
      <c r="AV39" s="774"/>
      <c r="AW39" s="553"/>
      <c r="AX39" s="553"/>
      <c r="AY39" s="553"/>
      <c r="AZ39" s="553"/>
      <c r="BA39" s="553"/>
      <c r="BB39" s="553"/>
      <c r="BC39" s="553"/>
      <c r="BD39" s="553"/>
      <c r="BE39" s="553"/>
      <c r="BF39" s="553"/>
      <c r="BG39" s="553"/>
      <c r="BH39" s="553"/>
      <c r="BI39" s="553"/>
      <c r="BJ39" s="553"/>
      <c r="BK39" s="553"/>
      <c r="BL39" s="553"/>
      <c r="BM39" s="553"/>
      <c r="BN39" s="553"/>
      <c r="BO39" s="553"/>
      <c r="BP39" s="553"/>
      <c r="BQ39" s="553"/>
      <c r="BR39" s="553"/>
      <c r="BS39" s="553"/>
      <c r="BT39" s="553"/>
      <c r="BU39" s="553"/>
      <c r="BV39" s="553"/>
      <c r="BW39" s="553"/>
      <c r="BX39" s="553"/>
      <c r="BY39" s="553"/>
      <c r="BZ39" s="553"/>
      <c r="CA39" s="553"/>
      <c r="CB39" s="553"/>
      <c r="CC39" s="553"/>
      <c r="CD39" s="553"/>
      <c r="CE39" s="553"/>
      <c r="CF39" s="553"/>
      <c r="CG39" s="553"/>
      <c r="CH39" s="553"/>
      <c r="CI39" s="366"/>
      <c r="CJ39" s="366"/>
      <c r="CK39" s="366"/>
      <c r="CL39" s="366"/>
      <c r="CM39" s="366"/>
      <c r="CN39" s="366"/>
      <c r="CO39" s="366"/>
    </row>
    <row r="40" spans="1:93" ht="11.25" customHeight="1">
      <c r="F40" s="366"/>
      <c r="G40" s="761" t="s">
        <v>60</v>
      </c>
      <c r="H40" s="755"/>
      <c r="I40" s="755">
        <v>31</v>
      </c>
      <c r="J40" s="755"/>
      <c r="K40" s="755"/>
      <c r="L40" s="372" t="s">
        <v>49</v>
      </c>
      <c r="M40" s="769">
        <v>3.6880569796776399</v>
      </c>
      <c r="N40" s="769"/>
      <c r="O40" s="769"/>
      <c r="P40" s="769"/>
      <c r="Q40" s="373" t="s">
        <v>181</v>
      </c>
      <c r="R40" s="755" t="s">
        <v>6</v>
      </c>
      <c r="S40" s="755"/>
      <c r="T40" s="760"/>
      <c r="U40" s="761" t="s">
        <v>61</v>
      </c>
      <c r="V40" s="755"/>
      <c r="W40" s="755">
        <v>28</v>
      </c>
      <c r="X40" s="755"/>
      <c r="Y40" s="755"/>
      <c r="Z40" s="372" t="s">
        <v>49</v>
      </c>
      <c r="AA40" s="769">
        <v>52.29606215970125</v>
      </c>
      <c r="AB40" s="769"/>
      <c r="AC40" s="769"/>
      <c r="AD40" s="769"/>
      <c r="AE40" s="373" t="s">
        <v>181</v>
      </c>
      <c r="AF40" s="755" t="s">
        <v>421</v>
      </c>
      <c r="AG40" s="755"/>
      <c r="AH40" s="760"/>
      <c r="AI40" s="755" t="s">
        <v>62</v>
      </c>
      <c r="AJ40" s="755"/>
      <c r="AK40" s="755">
        <v>25</v>
      </c>
      <c r="AL40" s="755"/>
      <c r="AM40" s="755"/>
      <c r="AN40" s="372" t="s">
        <v>49</v>
      </c>
      <c r="AO40" s="782">
        <v>41.904067339666653</v>
      </c>
      <c r="AP40" s="782"/>
      <c r="AQ40" s="782"/>
      <c r="AR40" s="782"/>
      <c r="AS40" s="605" t="s">
        <v>181</v>
      </c>
      <c r="AT40" s="783" t="s">
        <v>6</v>
      </c>
      <c r="AU40" s="783"/>
      <c r="AV40" s="784"/>
      <c r="AW40" s="553"/>
      <c r="AX40" s="553"/>
      <c r="AY40" s="553"/>
      <c r="AZ40" s="553"/>
      <c r="BA40" s="553"/>
      <c r="BB40" s="553"/>
      <c r="BC40" s="553"/>
      <c r="BD40" s="553"/>
      <c r="BE40" s="553"/>
      <c r="BF40" s="553"/>
      <c r="BG40" s="553"/>
      <c r="BH40" s="553"/>
      <c r="BI40" s="553"/>
      <c r="BJ40" s="553"/>
      <c r="BK40" s="553"/>
      <c r="BL40" s="553"/>
      <c r="BM40" s="553"/>
      <c r="BN40" s="553"/>
      <c r="BO40" s="553"/>
      <c r="BP40" s="553"/>
      <c r="BQ40" s="553"/>
      <c r="BR40" s="553"/>
      <c r="BS40" s="553"/>
      <c r="BT40" s="553"/>
      <c r="BU40" s="553"/>
      <c r="BV40" s="553"/>
      <c r="BW40" s="553"/>
      <c r="BX40" s="553"/>
      <c r="BY40" s="553"/>
      <c r="BZ40" s="553"/>
      <c r="CA40" s="553"/>
      <c r="CB40" s="553"/>
      <c r="CC40" s="553"/>
      <c r="CD40" s="553"/>
      <c r="CE40" s="553"/>
      <c r="CF40" s="553"/>
      <c r="CG40" s="553"/>
      <c r="CH40" s="553"/>
      <c r="CI40" s="366"/>
      <c r="CJ40" s="366"/>
      <c r="CK40" s="366"/>
      <c r="CL40" s="366"/>
      <c r="CM40" s="366"/>
      <c r="CN40" s="366"/>
      <c r="CO40" s="366"/>
    </row>
    <row r="41" spans="1:93" ht="11.25" customHeight="1">
      <c r="F41" s="366"/>
      <c r="G41" s="737"/>
      <c r="H41" s="738"/>
      <c r="I41" s="738">
        <v>175</v>
      </c>
      <c r="J41" s="738"/>
      <c r="K41" s="738"/>
      <c r="L41" s="374" t="s">
        <v>49</v>
      </c>
      <c r="M41" s="770">
        <v>57.492059569689445</v>
      </c>
      <c r="N41" s="770"/>
      <c r="O41" s="770"/>
      <c r="P41" s="770"/>
      <c r="Q41" s="375" t="s">
        <v>181</v>
      </c>
      <c r="R41" s="738" t="s">
        <v>422</v>
      </c>
      <c r="S41" s="738"/>
      <c r="T41" s="771"/>
      <c r="U41" s="737"/>
      <c r="V41" s="738"/>
      <c r="W41" s="738">
        <v>175</v>
      </c>
      <c r="X41" s="738"/>
      <c r="Y41" s="738"/>
      <c r="Z41" s="374" t="s">
        <v>49</v>
      </c>
      <c r="AA41" s="770">
        <v>47.100064749654848</v>
      </c>
      <c r="AB41" s="770"/>
      <c r="AC41" s="770"/>
      <c r="AD41" s="770"/>
      <c r="AE41" s="375" t="s">
        <v>181</v>
      </c>
      <c r="AF41" s="738" t="s">
        <v>422</v>
      </c>
      <c r="AG41" s="738"/>
      <c r="AH41" s="771"/>
      <c r="AI41" s="738"/>
      <c r="AJ41" s="738"/>
      <c r="AK41" s="738">
        <v>175</v>
      </c>
      <c r="AL41" s="738"/>
      <c r="AM41" s="738"/>
      <c r="AN41" s="374" t="s">
        <v>49</v>
      </c>
      <c r="AO41" s="772">
        <v>36.708069929620251</v>
      </c>
      <c r="AP41" s="772"/>
      <c r="AQ41" s="772"/>
      <c r="AR41" s="772"/>
      <c r="AS41" s="606" t="s">
        <v>181</v>
      </c>
      <c r="AT41" s="773" t="s">
        <v>422</v>
      </c>
      <c r="AU41" s="773"/>
      <c r="AV41" s="774"/>
      <c r="AW41" s="553"/>
      <c r="AX41" s="553"/>
      <c r="AY41" s="553"/>
      <c r="AZ41" s="553"/>
      <c r="BA41" s="553"/>
      <c r="BB41" s="553"/>
      <c r="BC41" s="553"/>
      <c r="BD41" s="553"/>
      <c r="BE41" s="553"/>
      <c r="BF41" s="553"/>
      <c r="BG41" s="553"/>
      <c r="BH41" s="553"/>
      <c r="BI41" s="553"/>
      <c r="BJ41" s="553"/>
      <c r="BK41" s="553"/>
      <c r="BL41" s="553"/>
      <c r="BM41" s="553"/>
      <c r="BN41" s="553"/>
      <c r="BO41" s="553"/>
      <c r="BP41" s="553"/>
      <c r="BQ41" s="553"/>
      <c r="BR41" s="553"/>
      <c r="BS41" s="553"/>
      <c r="BT41" s="553"/>
      <c r="BU41" s="553"/>
      <c r="BV41" s="553"/>
      <c r="BW41" s="553"/>
      <c r="BX41" s="553"/>
      <c r="BY41" s="553"/>
      <c r="BZ41" s="553"/>
      <c r="CA41" s="553"/>
      <c r="CB41" s="553"/>
      <c r="CC41" s="553"/>
      <c r="CD41" s="553"/>
      <c r="CE41" s="553"/>
      <c r="CF41" s="553"/>
      <c r="CG41" s="553"/>
      <c r="CH41" s="553"/>
      <c r="CI41" s="366"/>
      <c r="CJ41" s="366"/>
      <c r="CK41" s="366"/>
      <c r="CL41" s="366"/>
      <c r="CM41" s="366"/>
      <c r="CN41" s="366"/>
      <c r="CO41" s="366"/>
    </row>
    <row r="42" spans="1:93" ht="11.25" customHeight="1">
      <c r="A42" s="366"/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  <c r="X42" s="366"/>
      <c r="Y42" s="366"/>
      <c r="Z42" s="366"/>
      <c r="AA42" s="366"/>
      <c r="AB42" s="366"/>
      <c r="AC42" s="366"/>
      <c r="AD42" s="366"/>
      <c r="AE42" s="366"/>
      <c r="AF42" s="366"/>
      <c r="AG42" s="366"/>
      <c r="AH42" s="366"/>
      <c r="AI42" s="366"/>
      <c r="AJ42" s="366"/>
      <c r="AK42" s="366"/>
      <c r="AL42" s="366"/>
      <c r="AM42" s="366"/>
      <c r="AN42" s="366"/>
      <c r="AO42" s="553"/>
      <c r="AP42" s="553"/>
      <c r="AQ42" s="553"/>
      <c r="AR42" s="553"/>
      <c r="AS42" s="553"/>
      <c r="AT42" s="553"/>
      <c r="AU42" s="553"/>
      <c r="AV42" s="553"/>
      <c r="AW42" s="553"/>
      <c r="AX42" s="553"/>
      <c r="AY42" s="553"/>
      <c r="AZ42" s="553"/>
      <c r="BA42" s="553"/>
      <c r="BB42" s="553"/>
      <c r="BC42" s="553"/>
      <c r="BD42" s="553"/>
      <c r="BE42" s="553"/>
      <c r="BF42" s="553"/>
      <c r="BG42" s="553"/>
      <c r="BH42" s="553"/>
      <c r="BI42" s="553"/>
      <c r="BJ42" s="553"/>
      <c r="BK42" s="553"/>
      <c r="BL42" s="553"/>
      <c r="BM42" s="553"/>
      <c r="BN42" s="553"/>
      <c r="BO42" s="553"/>
      <c r="BP42" s="553"/>
      <c r="BQ42" s="553"/>
      <c r="BR42" s="553"/>
      <c r="BS42" s="553"/>
      <c r="BT42" s="553"/>
      <c r="BU42" s="553"/>
      <c r="BV42" s="553"/>
      <c r="BW42" s="553"/>
      <c r="BX42" s="553"/>
      <c r="BY42" s="553"/>
      <c r="BZ42" s="553"/>
      <c r="CA42" s="553"/>
      <c r="CB42" s="553"/>
      <c r="CC42" s="553"/>
      <c r="CD42" s="553"/>
      <c r="CE42" s="553"/>
      <c r="CF42" s="553"/>
      <c r="CG42" s="553"/>
      <c r="CH42" s="553"/>
      <c r="CI42" s="366"/>
      <c r="CJ42" s="366"/>
    </row>
    <row r="43" spans="1:93" ht="11.25" customHeight="1">
      <c r="A43" s="366"/>
      <c r="B43" s="367" t="s">
        <v>404</v>
      </c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  <c r="N43" s="366"/>
      <c r="O43" s="366"/>
      <c r="P43" s="366"/>
      <c r="Q43" s="366"/>
      <c r="R43" s="366"/>
      <c r="S43" s="366"/>
      <c r="T43" s="366"/>
      <c r="U43" s="366"/>
      <c r="V43" s="366"/>
      <c r="W43" s="366"/>
      <c r="X43" s="366"/>
      <c r="Y43" s="366"/>
      <c r="Z43" s="366"/>
      <c r="AA43" s="366"/>
      <c r="AB43" s="366"/>
      <c r="AC43" s="366"/>
      <c r="AD43" s="366"/>
      <c r="AE43" s="366"/>
      <c r="AF43" s="366"/>
      <c r="AG43" s="366"/>
      <c r="AH43" s="366"/>
      <c r="AI43" s="366"/>
      <c r="AJ43" s="366"/>
      <c r="AK43" s="366"/>
      <c r="AL43" s="366"/>
      <c r="AM43" s="366"/>
      <c r="AN43" s="366"/>
      <c r="AO43" s="553"/>
      <c r="AP43" s="553"/>
      <c r="AQ43" s="553"/>
      <c r="AR43" s="553"/>
      <c r="AS43" s="553"/>
      <c r="AT43" s="553"/>
      <c r="AU43" s="553"/>
      <c r="AV43" s="553"/>
      <c r="AW43" s="553"/>
      <c r="AX43" s="553"/>
      <c r="AY43" s="367"/>
      <c r="AZ43" s="553"/>
      <c r="BA43" s="553"/>
      <c r="BB43" s="553"/>
      <c r="BC43" s="553"/>
      <c r="BD43" s="553"/>
      <c r="BE43" s="553"/>
      <c r="BF43" s="553"/>
      <c r="BG43" s="553"/>
      <c r="BH43" s="553"/>
      <c r="BI43" s="553"/>
      <c r="BJ43" s="553"/>
      <c r="BK43" s="553"/>
      <c r="BL43" s="553"/>
      <c r="BM43" s="553"/>
      <c r="BN43" s="553"/>
      <c r="BO43" s="553"/>
      <c r="BP43" s="553"/>
      <c r="BQ43" s="553"/>
      <c r="BR43" s="553"/>
      <c r="BS43" s="553"/>
      <c r="BT43" s="553"/>
      <c r="BU43" s="553"/>
      <c r="BV43" s="553"/>
      <c r="BW43" s="553"/>
      <c r="BX43" s="553"/>
      <c r="BY43" s="553"/>
      <c r="BZ43" s="553"/>
      <c r="CA43" s="553"/>
      <c r="CB43" s="553"/>
      <c r="CC43" s="553"/>
      <c r="CD43" s="553"/>
      <c r="CE43" s="553"/>
      <c r="CF43" s="553"/>
      <c r="CG43" s="553"/>
      <c r="CH43" s="553"/>
      <c r="CI43" s="366"/>
      <c r="CJ43" s="366"/>
    </row>
    <row r="44" spans="1:93" ht="11.25" customHeight="1">
      <c r="D44" s="366"/>
      <c r="E44" s="366"/>
      <c r="F44" s="366"/>
      <c r="G44" s="785" t="s">
        <v>86</v>
      </c>
      <c r="H44" s="785"/>
      <c r="I44" s="785"/>
      <c r="J44" s="785"/>
      <c r="K44" s="785"/>
      <c r="L44" s="785"/>
      <c r="M44" s="785"/>
      <c r="N44" s="785"/>
      <c r="O44" s="785"/>
      <c r="P44" s="785"/>
      <c r="Q44" s="785" t="s">
        <v>87</v>
      </c>
      <c r="R44" s="785"/>
      <c r="S44" s="785"/>
      <c r="T44" s="785"/>
      <c r="U44" s="785"/>
      <c r="V44" s="785"/>
      <c r="W44" s="785"/>
      <c r="X44" s="785"/>
      <c r="Y44" s="785"/>
      <c r="Z44" s="785"/>
      <c r="AA44" s="785"/>
      <c r="AB44" s="785"/>
      <c r="AC44" s="785"/>
      <c r="AD44" s="785"/>
      <c r="AE44" s="785"/>
      <c r="AF44" s="785"/>
      <c r="AG44" s="785"/>
      <c r="AH44" s="785"/>
      <c r="AI44" s="785"/>
      <c r="AJ44" s="785"/>
      <c r="AK44" s="785"/>
      <c r="AL44" s="785"/>
      <c r="AM44" s="785"/>
      <c r="AN44" s="785"/>
      <c r="AO44" s="775" t="s">
        <v>88</v>
      </c>
      <c r="AP44" s="776"/>
      <c r="AQ44" s="776"/>
      <c r="AR44" s="776"/>
      <c r="AS44" s="776"/>
      <c r="AT44" s="776"/>
      <c r="AU44" s="777"/>
      <c r="AV44" s="775" t="s">
        <v>352</v>
      </c>
      <c r="AW44" s="776"/>
      <c r="AX44" s="776"/>
      <c r="AY44" s="776"/>
      <c r="AZ44" s="776"/>
      <c r="BA44" s="776"/>
      <c r="BB44" s="777"/>
      <c r="BC44" s="553"/>
      <c r="BD44" s="553"/>
      <c r="BE44" s="553"/>
      <c r="BF44" s="553"/>
      <c r="BG44" s="553"/>
      <c r="BH44" s="553"/>
      <c r="BI44" s="553"/>
      <c r="BJ44" s="553"/>
      <c r="BK44" s="553"/>
      <c r="BL44" s="553"/>
      <c r="BM44" s="553"/>
      <c r="BN44" s="553"/>
      <c r="BO44" s="553"/>
      <c r="BP44" s="553"/>
      <c r="BQ44" s="553"/>
      <c r="BR44" s="553"/>
      <c r="BS44" s="553"/>
      <c r="BT44" s="553"/>
      <c r="BU44" s="553"/>
      <c r="BV44" s="553"/>
      <c r="BW44" s="553"/>
      <c r="BX44" s="553"/>
      <c r="BY44" s="553"/>
      <c r="BZ44" s="553"/>
      <c r="CA44" s="553"/>
      <c r="CB44" s="553"/>
      <c r="CC44" s="553"/>
      <c r="CD44" s="553"/>
      <c r="CE44" s="553"/>
      <c r="CF44" s="553"/>
      <c r="CG44" s="553"/>
      <c r="CH44" s="553"/>
      <c r="CI44" s="366"/>
      <c r="CJ44" s="366"/>
      <c r="CK44" s="366"/>
      <c r="CL44" s="366"/>
      <c r="CM44" s="366"/>
    </row>
    <row r="45" spans="1:93" ht="11.25" customHeight="1">
      <c r="D45" s="366"/>
      <c r="E45" s="366"/>
      <c r="F45" s="366"/>
      <c r="G45" s="785"/>
      <c r="H45" s="785"/>
      <c r="I45" s="785"/>
      <c r="J45" s="785"/>
      <c r="K45" s="785"/>
      <c r="L45" s="785"/>
      <c r="M45" s="785"/>
      <c r="N45" s="785"/>
      <c r="O45" s="785"/>
      <c r="P45" s="785"/>
      <c r="Q45" s="778" t="s">
        <v>63</v>
      </c>
      <c r="R45" s="778"/>
      <c r="S45" s="778"/>
      <c r="T45" s="778"/>
      <c r="U45" s="778"/>
      <c r="V45" s="778"/>
      <c r="W45" s="778"/>
      <c r="X45" s="778"/>
      <c r="Y45" s="778"/>
      <c r="Z45" s="778"/>
      <c r="AA45" s="778"/>
      <c r="AB45" s="778"/>
      <c r="AC45" s="778" t="s">
        <v>64</v>
      </c>
      <c r="AD45" s="778"/>
      <c r="AE45" s="778"/>
      <c r="AF45" s="778"/>
      <c r="AG45" s="778"/>
      <c r="AH45" s="778"/>
      <c r="AI45" s="778"/>
      <c r="AJ45" s="778"/>
      <c r="AK45" s="778"/>
      <c r="AL45" s="778"/>
      <c r="AM45" s="778"/>
      <c r="AN45" s="778"/>
      <c r="AO45" s="775" t="s">
        <v>353</v>
      </c>
      <c r="AP45" s="776"/>
      <c r="AQ45" s="776"/>
      <c r="AR45" s="776"/>
      <c r="AS45" s="776"/>
      <c r="AT45" s="776"/>
      <c r="AU45" s="777"/>
      <c r="AV45" s="775" t="s">
        <v>55</v>
      </c>
      <c r="AW45" s="776"/>
      <c r="AX45" s="776"/>
      <c r="AY45" s="776"/>
      <c r="AZ45" s="776"/>
      <c r="BA45" s="776"/>
      <c r="BB45" s="777"/>
      <c r="BC45" s="553"/>
      <c r="BD45" s="553"/>
      <c r="BE45" s="553"/>
      <c r="BF45" s="553"/>
      <c r="BG45" s="553"/>
      <c r="BH45" s="553"/>
      <c r="BI45" s="553"/>
      <c r="BJ45" s="553"/>
      <c r="BK45" s="553"/>
      <c r="BL45" s="553"/>
      <c r="BM45" s="553"/>
      <c r="BN45" s="553"/>
      <c r="BO45" s="553"/>
      <c r="BP45" s="553"/>
      <c r="BQ45" s="553"/>
      <c r="BR45" s="553"/>
      <c r="BS45" s="553"/>
      <c r="BT45" s="553"/>
      <c r="BU45" s="553"/>
      <c r="BV45" s="553"/>
      <c r="BW45" s="553"/>
      <c r="BX45" s="553"/>
      <c r="BY45" s="553"/>
      <c r="BZ45" s="553"/>
      <c r="CA45" s="553"/>
      <c r="CB45" s="553"/>
      <c r="CC45" s="553"/>
      <c r="CD45" s="553"/>
      <c r="CE45" s="553"/>
      <c r="CF45" s="553"/>
      <c r="CG45" s="553"/>
      <c r="CH45" s="553"/>
      <c r="CI45" s="366"/>
      <c r="CJ45" s="366"/>
      <c r="CK45" s="366"/>
      <c r="CL45" s="366"/>
      <c r="CM45" s="366"/>
    </row>
    <row r="46" spans="1:93" ht="11.25" customHeight="1">
      <c r="D46" s="366"/>
      <c r="E46" s="366"/>
      <c r="F46" s="366"/>
      <c r="G46" s="785" t="s">
        <v>83</v>
      </c>
      <c r="H46" s="785"/>
      <c r="I46" s="785"/>
      <c r="J46" s="785"/>
      <c r="K46" s="785"/>
      <c r="L46" s="785"/>
      <c r="M46" s="785"/>
      <c r="N46" s="785"/>
      <c r="O46" s="785"/>
      <c r="P46" s="732"/>
      <c r="Q46" s="786">
        <v>50</v>
      </c>
      <c r="R46" s="787"/>
      <c r="S46" s="787"/>
      <c r="T46" s="470" t="s">
        <v>49</v>
      </c>
      <c r="U46" s="788">
        <v>55.648031079850625</v>
      </c>
      <c r="V46" s="788"/>
      <c r="W46" s="788"/>
      <c r="X46" s="788"/>
      <c r="Y46" s="376" t="s">
        <v>181</v>
      </c>
      <c r="Z46" s="728" t="s">
        <v>421</v>
      </c>
      <c r="AA46" s="728"/>
      <c r="AB46" s="754"/>
      <c r="AC46" s="787">
        <v>176</v>
      </c>
      <c r="AD46" s="787"/>
      <c r="AE46" s="787"/>
      <c r="AF46" s="470" t="s">
        <v>49</v>
      </c>
      <c r="AG46" s="788">
        <v>1.84402848983882</v>
      </c>
      <c r="AH46" s="788"/>
      <c r="AI46" s="788"/>
      <c r="AJ46" s="788"/>
      <c r="AK46" s="376" t="s">
        <v>181</v>
      </c>
      <c r="AL46" s="728" t="s">
        <v>61</v>
      </c>
      <c r="AM46" s="728"/>
      <c r="AN46" s="754"/>
      <c r="AO46" s="779" t="s">
        <v>354</v>
      </c>
      <c r="AP46" s="780"/>
      <c r="AQ46" s="780"/>
      <c r="AR46" s="780"/>
      <c r="AS46" s="780"/>
      <c r="AT46" s="780"/>
      <c r="AU46" s="780"/>
      <c r="AV46" s="781" t="s">
        <v>354</v>
      </c>
      <c r="AW46" s="780"/>
      <c r="AX46" s="780"/>
      <c r="AY46" s="780"/>
      <c r="AZ46" s="780"/>
      <c r="BA46" s="780"/>
      <c r="BB46" s="780"/>
      <c r="BC46" s="553"/>
      <c r="BD46" s="555"/>
      <c r="BE46" s="555"/>
      <c r="BF46" s="553"/>
      <c r="BG46" s="556"/>
      <c r="BH46" s="553"/>
      <c r="BI46" s="555"/>
      <c r="BJ46" s="555"/>
      <c r="BK46" s="553"/>
      <c r="BL46" s="553"/>
      <c r="BM46" s="553"/>
      <c r="BN46" s="553"/>
      <c r="BO46" s="553"/>
      <c r="BP46" s="553"/>
      <c r="BQ46" s="553"/>
      <c r="BR46" s="553"/>
      <c r="BS46" s="553"/>
      <c r="BT46" s="553"/>
      <c r="BU46" s="553"/>
      <c r="BV46" s="553"/>
      <c r="BW46" s="553"/>
      <c r="BX46" s="553"/>
      <c r="BY46" s="553"/>
      <c r="BZ46" s="553"/>
      <c r="CA46" s="553"/>
      <c r="CB46" s="553"/>
      <c r="CC46" s="553"/>
      <c r="CD46" s="553"/>
      <c r="CE46" s="553"/>
      <c r="CF46" s="553"/>
      <c r="CG46" s="553"/>
      <c r="CH46" s="553"/>
      <c r="CI46" s="366"/>
      <c r="CJ46" s="366"/>
      <c r="CK46" s="366"/>
      <c r="CL46" s="366"/>
      <c r="CM46" s="366"/>
    </row>
    <row r="47" spans="1:93" ht="11.25" customHeight="1">
      <c r="D47" s="366"/>
      <c r="E47" s="366"/>
      <c r="F47" s="366"/>
      <c r="G47" s="785" t="s">
        <v>84</v>
      </c>
      <c r="H47" s="785"/>
      <c r="I47" s="785"/>
      <c r="J47" s="785"/>
      <c r="K47" s="785"/>
      <c r="L47" s="785"/>
      <c r="M47" s="785"/>
      <c r="N47" s="785"/>
      <c r="O47" s="785"/>
      <c r="P47" s="732"/>
      <c r="Q47" s="793">
        <v>51</v>
      </c>
      <c r="R47" s="794"/>
      <c r="S47" s="794"/>
      <c r="T47" s="470" t="s">
        <v>49</v>
      </c>
      <c r="U47" s="788">
        <v>6.4227029264927182</v>
      </c>
      <c r="V47" s="788"/>
      <c r="W47" s="788"/>
      <c r="X47" s="788"/>
      <c r="Y47" s="376" t="s">
        <v>181</v>
      </c>
      <c r="Z47" s="728" t="s">
        <v>421</v>
      </c>
      <c r="AA47" s="728"/>
      <c r="AB47" s="754"/>
      <c r="AC47" s="793">
        <v>175</v>
      </c>
      <c r="AD47" s="794"/>
      <c r="AE47" s="794"/>
      <c r="AF47" s="470" t="s">
        <v>49</v>
      </c>
      <c r="AG47" s="788">
        <v>32.235636602663931</v>
      </c>
      <c r="AH47" s="788"/>
      <c r="AI47" s="788"/>
      <c r="AJ47" s="788"/>
      <c r="AK47" s="376" t="s">
        <v>181</v>
      </c>
      <c r="AL47" s="728" t="s">
        <v>61</v>
      </c>
      <c r="AM47" s="728"/>
      <c r="AN47" s="754"/>
      <c r="AO47" s="789">
        <v>23.991437375303537</v>
      </c>
      <c r="AP47" s="790"/>
      <c r="AQ47" s="790"/>
      <c r="AR47" s="790"/>
      <c r="AS47" s="790"/>
      <c r="AT47" s="790"/>
      <c r="AU47" s="791"/>
      <c r="AV47" s="730">
        <v>1.1680440297641326</v>
      </c>
      <c r="AW47" s="731"/>
      <c r="AX47" s="731"/>
      <c r="AY47" s="731" t="s">
        <v>355</v>
      </c>
      <c r="AZ47" s="731"/>
      <c r="BA47" s="731"/>
      <c r="BB47" s="792"/>
      <c r="BC47" s="553"/>
      <c r="BD47" s="557"/>
      <c r="BE47" s="557"/>
      <c r="BF47" s="558"/>
      <c r="BG47" s="558"/>
      <c r="BH47" s="555"/>
      <c r="BI47" s="559"/>
      <c r="BJ47" s="559"/>
      <c r="BK47" s="553"/>
      <c r="BL47" s="553"/>
      <c r="BM47" s="553"/>
      <c r="BN47" s="553"/>
      <c r="BO47" s="553"/>
      <c r="BP47" s="553"/>
      <c r="BQ47" s="553"/>
      <c r="BR47" s="553"/>
      <c r="BS47" s="553"/>
      <c r="BT47" s="553"/>
      <c r="BU47" s="553"/>
      <c r="BV47" s="553"/>
      <c r="BW47" s="553"/>
      <c r="BX47" s="553"/>
      <c r="BY47" s="553"/>
      <c r="BZ47" s="553"/>
      <c r="CA47" s="553"/>
      <c r="CB47" s="553"/>
      <c r="CC47" s="553"/>
      <c r="CD47" s="553"/>
      <c r="CE47" s="553"/>
      <c r="CF47" s="553"/>
      <c r="CG47" s="553"/>
      <c r="CH47" s="553"/>
      <c r="CI47" s="366"/>
      <c r="CJ47" s="366"/>
      <c r="CK47" s="366"/>
      <c r="CL47" s="366"/>
      <c r="CM47" s="366"/>
    </row>
    <row r="48" spans="1:93" ht="11.25" customHeight="1">
      <c r="D48" s="366"/>
      <c r="E48" s="366"/>
      <c r="F48" s="366"/>
      <c r="G48" s="785" t="s">
        <v>85</v>
      </c>
      <c r="H48" s="785"/>
      <c r="I48" s="785"/>
      <c r="J48" s="785"/>
      <c r="K48" s="785"/>
      <c r="L48" s="785"/>
      <c r="M48" s="785"/>
      <c r="N48" s="785"/>
      <c r="O48" s="785"/>
      <c r="P48" s="732"/>
      <c r="Q48" s="793">
        <v>51</v>
      </c>
      <c r="R48" s="794"/>
      <c r="S48" s="794"/>
      <c r="T48" s="470" t="s">
        <v>49</v>
      </c>
      <c r="U48" s="788">
        <v>16.830657807177687</v>
      </c>
      <c r="V48" s="788"/>
      <c r="W48" s="788"/>
      <c r="X48" s="788"/>
      <c r="Y48" s="376" t="s">
        <v>181</v>
      </c>
      <c r="Z48" s="728" t="s">
        <v>421</v>
      </c>
      <c r="AA48" s="728"/>
      <c r="AB48" s="754"/>
      <c r="AC48" s="793">
        <v>176</v>
      </c>
      <c r="AD48" s="794"/>
      <c r="AE48" s="794"/>
      <c r="AF48" s="470" t="s">
        <v>49</v>
      </c>
      <c r="AG48" s="788">
        <v>25.375914502213845</v>
      </c>
      <c r="AH48" s="788"/>
      <c r="AI48" s="788"/>
      <c r="AJ48" s="788"/>
      <c r="AK48" s="376" t="s">
        <v>181</v>
      </c>
      <c r="AL48" s="728" t="s">
        <v>61</v>
      </c>
      <c r="AM48" s="728"/>
      <c r="AN48" s="754"/>
      <c r="AO48" s="795">
        <v>23.690330850554453</v>
      </c>
      <c r="AP48" s="796"/>
      <c r="AQ48" s="796"/>
      <c r="AR48" s="796"/>
      <c r="AS48" s="796"/>
      <c r="AT48" s="796"/>
      <c r="AU48" s="797"/>
      <c r="AV48" s="730">
        <v>0.97204661974683404</v>
      </c>
      <c r="AW48" s="731"/>
      <c r="AX48" s="731"/>
      <c r="AY48" s="731" t="s">
        <v>356</v>
      </c>
      <c r="AZ48" s="731"/>
      <c r="BA48" s="731"/>
      <c r="BB48" s="792"/>
      <c r="BC48" s="553"/>
      <c r="BD48" s="560"/>
      <c r="BE48" s="557"/>
      <c r="BF48" s="558"/>
      <c r="BG48" s="558"/>
      <c r="BH48" s="555"/>
      <c r="BI48" s="559"/>
      <c r="BJ48" s="559"/>
      <c r="BK48" s="553"/>
      <c r="BL48" s="553"/>
      <c r="BM48" s="553"/>
      <c r="BN48" s="553"/>
      <c r="BO48" s="553"/>
      <c r="BP48" s="553"/>
      <c r="BQ48" s="553"/>
      <c r="BR48" s="553"/>
      <c r="BS48" s="553"/>
      <c r="BT48" s="553"/>
      <c r="BU48" s="553"/>
      <c r="BV48" s="553"/>
      <c r="BW48" s="553"/>
      <c r="BX48" s="553"/>
      <c r="BY48" s="553"/>
      <c r="BZ48" s="553"/>
      <c r="CA48" s="553"/>
      <c r="CB48" s="553"/>
      <c r="CC48" s="553"/>
      <c r="CD48" s="553"/>
      <c r="CE48" s="553"/>
      <c r="CF48" s="553"/>
      <c r="CG48" s="553"/>
      <c r="CH48" s="553"/>
      <c r="CI48" s="366"/>
      <c r="CJ48" s="366"/>
      <c r="CK48" s="366"/>
      <c r="CL48" s="366"/>
      <c r="CM48" s="366"/>
    </row>
    <row r="49" spans="1:92" ht="11.25" customHeight="1">
      <c r="A49" s="366"/>
      <c r="B49" s="366"/>
      <c r="C49" s="366"/>
      <c r="D49" s="366"/>
      <c r="E49" s="366"/>
      <c r="F49" s="366"/>
      <c r="G49" s="366"/>
      <c r="H49" s="366"/>
      <c r="I49" s="366"/>
      <c r="J49" s="366"/>
      <c r="K49" s="366"/>
      <c r="L49" s="366"/>
      <c r="M49" s="366"/>
      <c r="N49" s="366"/>
      <c r="O49" s="366"/>
      <c r="P49" s="366"/>
      <c r="Q49" s="366"/>
      <c r="R49" s="366"/>
      <c r="S49" s="366"/>
      <c r="T49" s="366"/>
      <c r="U49" s="366"/>
      <c r="V49" s="366"/>
      <c r="W49" s="366"/>
      <c r="X49" s="366"/>
      <c r="Y49" s="366"/>
      <c r="Z49" s="366"/>
      <c r="AA49" s="366"/>
      <c r="AB49" s="366"/>
      <c r="AC49" s="366"/>
      <c r="AD49" s="366"/>
      <c r="AE49" s="366"/>
      <c r="AF49" s="366"/>
      <c r="AG49" s="366"/>
      <c r="AH49" s="366"/>
      <c r="AI49" s="366"/>
      <c r="AJ49" s="366"/>
      <c r="AK49" s="366"/>
      <c r="AL49" s="366"/>
      <c r="AM49" s="366"/>
      <c r="AN49" s="366"/>
      <c r="AO49" s="553"/>
      <c r="AP49" s="553"/>
      <c r="AQ49" s="553"/>
      <c r="AR49" s="553"/>
      <c r="AS49" s="553"/>
      <c r="AT49" s="553"/>
      <c r="AU49" s="553"/>
      <c r="AV49" s="553"/>
      <c r="AW49" s="553"/>
      <c r="AX49" s="553"/>
      <c r="AY49" s="553"/>
      <c r="AZ49" s="553"/>
      <c r="BA49" s="553"/>
      <c r="BB49" s="553"/>
      <c r="BC49" s="553"/>
      <c r="BD49" s="553"/>
      <c r="BE49" s="553"/>
      <c r="BF49" s="553"/>
      <c r="BG49" s="553"/>
      <c r="BH49" s="553"/>
      <c r="BI49" s="553"/>
      <c r="BJ49" s="553"/>
      <c r="BK49" s="553"/>
      <c r="BL49" s="553"/>
      <c r="BM49" s="553"/>
      <c r="BN49" s="553"/>
      <c r="BO49" s="553"/>
      <c r="BP49" s="553"/>
      <c r="BQ49" s="553"/>
      <c r="BR49" s="553"/>
      <c r="BS49" s="553"/>
      <c r="BT49" s="553"/>
      <c r="BU49" s="553"/>
      <c r="BV49" s="553"/>
      <c r="BW49" s="553"/>
      <c r="BX49" s="553"/>
      <c r="BY49" s="553"/>
      <c r="BZ49" s="553"/>
      <c r="CA49" s="553"/>
      <c r="CB49" s="553"/>
      <c r="CC49" s="553"/>
      <c r="CD49" s="553"/>
      <c r="CE49" s="553"/>
      <c r="CF49" s="553"/>
      <c r="CG49" s="553"/>
      <c r="CH49" s="553"/>
      <c r="CI49" s="366"/>
      <c r="CJ49" s="366"/>
    </row>
    <row r="50" spans="1:92" ht="11.25" customHeight="1">
      <c r="A50" s="366"/>
      <c r="B50" s="367" t="s">
        <v>368</v>
      </c>
      <c r="C50" s="366"/>
      <c r="D50" s="366"/>
      <c r="E50" s="366"/>
      <c r="F50" s="366"/>
      <c r="G50" s="366"/>
      <c r="H50" s="366"/>
      <c r="I50" s="366"/>
      <c r="J50" s="366"/>
      <c r="K50" s="366"/>
      <c r="L50" s="366"/>
      <c r="M50" s="366"/>
      <c r="N50" s="366"/>
      <c r="O50" s="366"/>
      <c r="P50" s="366"/>
      <c r="Q50" s="366"/>
      <c r="R50" s="366"/>
      <c r="S50" s="366"/>
      <c r="T50" s="366"/>
      <c r="U50" s="366"/>
      <c r="V50" s="366"/>
      <c r="W50" s="366"/>
      <c r="X50" s="366"/>
      <c r="Y50" s="366"/>
      <c r="Z50" s="366"/>
      <c r="AA50" s="366"/>
      <c r="AB50" s="366"/>
      <c r="AC50" s="366"/>
      <c r="AD50" s="366"/>
      <c r="AE50" s="366"/>
      <c r="AF50" s="366"/>
      <c r="AG50" s="366"/>
      <c r="AH50" s="366"/>
      <c r="AI50" s="366"/>
      <c r="AJ50" s="366"/>
      <c r="AK50" s="366"/>
      <c r="AL50" s="366"/>
      <c r="AM50" s="366"/>
      <c r="AN50" s="366"/>
      <c r="AO50" s="553"/>
      <c r="AP50" s="553"/>
      <c r="AQ50" s="553"/>
      <c r="AR50" s="553"/>
      <c r="AS50" s="553"/>
      <c r="AT50" s="553"/>
      <c r="AU50" s="553"/>
      <c r="AV50" s="553"/>
      <c r="AW50" s="553"/>
      <c r="AX50" s="553"/>
      <c r="AY50" s="553"/>
      <c r="AZ50" s="553"/>
      <c r="BA50" s="553"/>
      <c r="BB50" s="367"/>
      <c r="BC50" s="553"/>
      <c r="BD50" s="553"/>
      <c r="BE50" s="553"/>
      <c r="BF50" s="553"/>
      <c r="BG50" s="553"/>
      <c r="BH50" s="553"/>
      <c r="BI50" s="553"/>
      <c r="BJ50" s="553"/>
      <c r="BK50" s="553"/>
      <c r="BL50" s="553"/>
      <c r="BM50" s="553"/>
      <c r="BN50" s="553"/>
      <c r="BO50" s="553"/>
      <c r="BP50" s="553"/>
      <c r="BQ50" s="553"/>
      <c r="BR50" s="553"/>
      <c r="BS50" s="553"/>
      <c r="BT50" s="553"/>
      <c r="BU50" s="553"/>
      <c r="BV50" s="553"/>
      <c r="BW50" s="553"/>
      <c r="BX50" s="553"/>
      <c r="BY50" s="553"/>
      <c r="BZ50" s="553"/>
      <c r="CA50" s="553"/>
      <c r="CB50" s="553"/>
      <c r="CC50" s="553"/>
      <c r="CD50" s="553"/>
      <c r="CE50" s="553"/>
      <c r="CF50" s="553"/>
      <c r="CG50" s="553"/>
      <c r="CH50" s="553"/>
      <c r="CI50" s="366"/>
      <c r="CJ50" s="366"/>
    </row>
    <row r="51" spans="1:92" ht="11.25" customHeight="1">
      <c r="D51" s="366"/>
      <c r="E51" s="366"/>
      <c r="F51" s="366"/>
      <c r="G51" s="785" t="s">
        <v>86</v>
      </c>
      <c r="H51" s="785"/>
      <c r="I51" s="785"/>
      <c r="J51" s="785"/>
      <c r="K51" s="785"/>
      <c r="L51" s="785"/>
      <c r="M51" s="785"/>
      <c r="N51" s="785"/>
      <c r="O51" s="785"/>
      <c r="P51" s="785"/>
      <c r="Q51" s="785" t="s">
        <v>87</v>
      </c>
      <c r="R51" s="785"/>
      <c r="S51" s="785"/>
      <c r="T51" s="785"/>
      <c r="U51" s="785"/>
      <c r="V51" s="785"/>
      <c r="W51" s="785"/>
      <c r="X51" s="785"/>
      <c r="Y51" s="785"/>
      <c r="Z51" s="785"/>
      <c r="AA51" s="785"/>
      <c r="AB51" s="785"/>
      <c r="AC51" s="785"/>
      <c r="AD51" s="785"/>
      <c r="AE51" s="785"/>
      <c r="AF51" s="785"/>
      <c r="AG51" s="785"/>
      <c r="AH51" s="785"/>
      <c r="AI51" s="785"/>
      <c r="AJ51" s="785"/>
      <c r="AK51" s="785"/>
      <c r="AL51" s="785"/>
      <c r="AM51" s="785"/>
      <c r="AN51" s="785"/>
      <c r="AO51" s="775" t="s">
        <v>88</v>
      </c>
      <c r="AP51" s="776"/>
      <c r="AQ51" s="776"/>
      <c r="AR51" s="776"/>
      <c r="AS51" s="776"/>
      <c r="AT51" s="776"/>
      <c r="AU51" s="777"/>
      <c r="AV51" s="775" t="s">
        <v>352</v>
      </c>
      <c r="AW51" s="776"/>
      <c r="AX51" s="776"/>
      <c r="AY51" s="776"/>
      <c r="AZ51" s="776"/>
      <c r="BA51" s="776"/>
      <c r="BB51" s="777"/>
      <c r="BC51" s="377"/>
      <c r="BD51" s="377"/>
      <c r="BE51" s="377"/>
      <c r="BF51" s="377"/>
      <c r="BG51" s="553"/>
      <c r="BH51" s="553"/>
      <c r="BI51" s="553"/>
      <c r="BJ51" s="553"/>
      <c r="BK51" s="553"/>
      <c r="BL51" s="553"/>
      <c r="BM51" s="553"/>
      <c r="BN51" s="553"/>
      <c r="BO51" s="553"/>
      <c r="BP51" s="553"/>
      <c r="BQ51" s="553"/>
      <c r="BR51" s="553"/>
      <c r="BS51" s="553"/>
      <c r="BT51" s="553"/>
      <c r="BU51" s="553"/>
      <c r="BV51" s="553"/>
      <c r="BW51" s="553"/>
      <c r="BX51" s="553"/>
      <c r="BY51" s="553"/>
      <c r="BZ51" s="553"/>
      <c r="CA51" s="553"/>
      <c r="CB51" s="553"/>
      <c r="CC51" s="553"/>
      <c r="CD51" s="553"/>
      <c r="CE51" s="553"/>
      <c r="CF51" s="553"/>
      <c r="CG51" s="553"/>
      <c r="CH51" s="553"/>
      <c r="CI51" s="366"/>
      <c r="CJ51" s="366"/>
      <c r="CK51" s="366"/>
      <c r="CL51" s="366"/>
      <c r="CM51" s="366"/>
      <c r="CN51" s="366"/>
    </row>
    <row r="52" spans="1:92" ht="11.25" customHeight="1">
      <c r="D52" s="366"/>
      <c r="E52" s="366"/>
      <c r="F52" s="366"/>
      <c r="G52" s="785"/>
      <c r="H52" s="785"/>
      <c r="I52" s="785"/>
      <c r="J52" s="785"/>
      <c r="K52" s="785"/>
      <c r="L52" s="785"/>
      <c r="M52" s="785"/>
      <c r="N52" s="785"/>
      <c r="O52" s="785"/>
      <c r="P52" s="785"/>
      <c r="Q52" s="778" t="s">
        <v>63</v>
      </c>
      <c r="R52" s="778"/>
      <c r="S52" s="778"/>
      <c r="T52" s="778"/>
      <c r="U52" s="778"/>
      <c r="V52" s="778"/>
      <c r="W52" s="778"/>
      <c r="X52" s="778"/>
      <c r="Y52" s="778"/>
      <c r="Z52" s="778"/>
      <c r="AA52" s="778"/>
      <c r="AB52" s="778"/>
      <c r="AC52" s="778" t="s">
        <v>64</v>
      </c>
      <c r="AD52" s="778"/>
      <c r="AE52" s="778"/>
      <c r="AF52" s="778"/>
      <c r="AG52" s="778"/>
      <c r="AH52" s="778"/>
      <c r="AI52" s="778"/>
      <c r="AJ52" s="778"/>
      <c r="AK52" s="778"/>
      <c r="AL52" s="778"/>
      <c r="AM52" s="778"/>
      <c r="AN52" s="778"/>
      <c r="AO52" s="775" t="s">
        <v>357</v>
      </c>
      <c r="AP52" s="776"/>
      <c r="AQ52" s="776"/>
      <c r="AR52" s="776"/>
      <c r="AS52" s="776"/>
      <c r="AT52" s="776"/>
      <c r="AU52" s="777"/>
      <c r="AV52" s="775" t="s">
        <v>55</v>
      </c>
      <c r="AW52" s="776"/>
      <c r="AX52" s="776"/>
      <c r="AY52" s="776"/>
      <c r="AZ52" s="776"/>
      <c r="BA52" s="776"/>
      <c r="BB52" s="777"/>
      <c r="BC52" s="377"/>
      <c r="BD52" s="377"/>
      <c r="BE52" s="377"/>
      <c r="BF52" s="377"/>
      <c r="BG52" s="553"/>
      <c r="BH52" s="553"/>
      <c r="BI52" s="553"/>
      <c r="BJ52" s="553"/>
      <c r="BK52" s="553"/>
      <c r="BL52" s="553"/>
      <c r="BM52" s="553"/>
      <c r="BN52" s="553"/>
      <c r="BO52" s="553"/>
      <c r="BP52" s="553"/>
      <c r="BQ52" s="553"/>
      <c r="BR52" s="553"/>
      <c r="BS52" s="553"/>
      <c r="BT52" s="553"/>
      <c r="BU52" s="553"/>
      <c r="BV52" s="553"/>
      <c r="BW52" s="553"/>
      <c r="BX52" s="553"/>
      <c r="BY52" s="553"/>
      <c r="BZ52" s="553"/>
      <c r="CA52" s="553"/>
      <c r="CB52" s="553"/>
      <c r="CC52" s="553"/>
      <c r="CD52" s="553"/>
      <c r="CE52" s="553"/>
      <c r="CF52" s="553"/>
      <c r="CG52" s="553"/>
      <c r="CH52" s="553"/>
      <c r="CI52" s="366"/>
      <c r="CJ52" s="366"/>
      <c r="CK52" s="366"/>
      <c r="CL52" s="366"/>
      <c r="CM52" s="366"/>
      <c r="CN52" s="366"/>
    </row>
    <row r="53" spans="1:92" ht="11.25" customHeight="1">
      <c r="D53" s="366"/>
      <c r="E53" s="366"/>
      <c r="F53" s="366"/>
      <c r="G53" s="785" t="s">
        <v>83</v>
      </c>
      <c r="H53" s="785"/>
      <c r="I53" s="785"/>
      <c r="J53" s="785"/>
      <c r="K53" s="785"/>
      <c r="L53" s="785"/>
      <c r="M53" s="785"/>
      <c r="N53" s="785"/>
      <c r="O53" s="785"/>
      <c r="P53" s="732"/>
      <c r="Q53" s="786">
        <v>44</v>
      </c>
      <c r="R53" s="787"/>
      <c r="S53" s="787"/>
      <c r="T53" s="470" t="s">
        <v>49</v>
      </c>
      <c r="U53" s="788">
        <v>45.256036259816028</v>
      </c>
      <c r="V53" s="788"/>
      <c r="W53" s="788"/>
      <c r="X53" s="788"/>
      <c r="Y53" s="376" t="s">
        <v>181</v>
      </c>
      <c r="Z53" s="728" t="s">
        <v>421</v>
      </c>
      <c r="AA53" s="728"/>
      <c r="AB53" s="754"/>
      <c r="AC53" s="787">
        <v>176</v>
      </c>
      <c r="AD53" s="787"/>
      <c r="AE53" s="787"/>
      <c r="AF53" s="470" t="s">
        <v>49</v>
      </c>
      <c r="AG53" s="788">
        <v>40.06003884979873</v>
      </c>
      <c r="AH53" s="788"/>
      <c r="AI53" s="788"/>
      <c r="AJ53" s="788"/>
      <c r="AK53" s="376" t="s">
        <v>181</v>
      </c>
      <c r="AL53" s="728" t="s">
        <v>61</v>
      </c>
      <c r="AM53" s="728"/>
      <c r="AN53" s="754"/>
      <c r="AO53" s="798" t="s">
        <v>354</v>
      </c>
      <c r="AP53" s="799"/>
      <c r="AQ53" s="799"/>
      <c r="AR53" s="799"/>
      <c r="AS53" s="799"/>
      <c r="AT53" s="799"/>
      <c r="AU53" s="799"/>
      <c r="AV53" s="800" t="s">
        <v>354</v>
      </c>
      <c r="AW53" s="799"/>
      <c r="AX53" s="799"/>
      <c r="AY53" s="799"/>
      <c r="AZ53" s="799"/>
      <c r="BA53" s="799"/>
      <c r="BB53" s="799"/>
      <c r="BC53" s="553"/>
      <c r="BD53" s="555"/>
      <c r="BE53" s="555"/>
      <c r="BF53" s="553"/>
      <c r="BG53" s="556"/>
      <c r="BH53" s="553"/>
      <c r="BI53" s="555"/>
      <c r="BJ53" s="555"/>
      <c r="BK53" s="553"/>
      <c r="BL53" s="553"/>
      <c r="BM53" s="553"/>
      <c r="BN53" s="553"/>
      <c r="BO53" s="553"/>
      <c r="BP53" s="553"/>
      <c r="BQ53" s="553"/>
      <c r="BR53" s="553"/>
      <c r="BS53" s="553"/>
      <c r="BT53" s="553"/>
      <c r="BU53" s="553"/>
      <c r="BV53" s="553"/>
      <c r="BW53" s="553"/>
      <c r="BX53" s="553"/>
      <c r="BY53" s="553"/>
      <c r="BZ53" s="553"/>
      <c r="CA53" s="553"/>
      <c r="CB53" s="553"/>
      <c r="CC53" s="553"/>
      <c r="CD53" s="553"/>
      <c r="CE53" s="553"/>
      <c r="CF53" s="553"/>
      <c r="CG53" s="553"/>
      <c r="CH53" s="553"/>
      <c r="CI53" s="366"/>
      <c r="CJ53" s="366"/>
      <c r="CK53" s="366"/>
      <c r="CL53" s="366"/>
      <c r="CM53" s="366"/>
      <c r="CN53" s="366"/>
    </row>
    <row r="54" spans="1:92" ht="11.25" customHeight="1">
      <c r="D54" s="366"/>
      <c r="E54" s="366"/>
      <c r="F54" s="366"/>
      <c r="G54" s="785" t="s">
        <v>84</v>
      </c>
      <c r="H54" s="785"/>
      <c r="I54" s="785"/>
      <c r="J54" s="785"/>
      <c r="K54" s="785"/>
      <c r="L54" s="785"/>
      <c r="M54" s="785"/>
      <c r="N54" s="785"/>
      <c r="O54" s="785"/>
      <c r="P54" s="732"/>
      <c r="Q54" s="793">
        <v>44</v>
      </c>
      <c r="R54" s="794"/>
      <c r="S54" s="794"/>
      <c r="T54" s="470" t="s">
        <v>49</v>
      </c>
      <c r="U54" s="788">
        <v>25.623835383247666</v>
      </c>
      <c r="V54" s="788"/>
      <c r="W54" s="788"/>
      <c r="X54" s="788"/>
      <c r="Y54" s="376" t="s">
        <v>181</v>
      </c>
      <c r="Z54" s="728" t="s">
        <v>421</v>
      </c>
      <c r="AA54" s="728"/>
      <c r="AB54" s="754"/>
      <c r="AC54" s="793">
        <v>176</v>
      </c>
      <c r="AD54" s="794"/>
      <c r="AE54" s="794"/>
      <c r="AF54" s="470" t="s">
        <v>49</v>
      </c>
      <c r="AG54" s="788">
        <v>16.862449237179931</v>
      </c>
      <c r="AH54" s="788"/>
      <c r="AI54" s="788"/>
      <c r="AJ54" s="788"/>
      <c r="AK54" s="376" t="s">
        <v>181</v>
      </c>
      <c r="AL54" s="728" t="s">
        <v>61</v>
      </c>
      <c r="AM54" s="728"/>
      <c r="AN54" s="728"/>
      <c r="AO54" s="730">
        <v>225.62081641239331</v>
      </c>
      <c r="AP54" s="731"/>
      <c r="AQ54" s="731"/>
      <c r="AR54" s="731"/>
      <c r="AS54" s="731"/>
      <c r="AT54" s="731"/>
      <c r="AU54" s="399" t="s">
        <v>49</v>
      </c>
      <c r="AV54" s="607"/>
      <c r="AW54" s="378"/>
      <c r="AX54" s="731">
        <v>0.75603625981602818</v>
      </c>
      <c r="AY54" s="731"/>
      <c r="AZ54" s="731"/>
      <c r="BA54" s="378" t="s">
        <v>49</v>
      </c>
      <c r="BB54" s="608"/>
      <c r="BC54" s="553"/>
      <c r="BD54" s="557"/>
      <c r="BE54" s="557"/>
      <c r="BF54" s="558"/>
      <c r="BG54" s="558"/>
      <c r="BH54" s="555"/>
      <c r="BI54" s="559"/>
      <c r="BJ54" s="559"/>
      <c r="BK54" s="553"/>
      <c r="BL54" s="553"/>
      <c r="BM54" s="553"/>
      <c r="BN54" s="553"/>
      <c r="BO54" s="553"/>
      <c r="BP54" s="553"/>
      <c r="BQ54" s="553"/>
      <c r="BR54" s="553"/>
      <c r="BS54" s="553"/>
      <c r="BT54" s="553"/>
      <c r="BU54" s="553"/>
      <c r="BV54" s="553"/>
      <c r="BW54" s="553"/>
      <c r="BX54" s="553"/>
      <c r="BY54" s="553"/>
      <c r="BZ54" s="553"/>
      <c r="CA54" s="553"/>
      <c r="CB54" s="553"/>
      <c r="CC54" s="553"/>
      <c r="CD54" s="553"/>
      <c r="CE54" s="553"/>
      <c r="CF54" s="553"/>
      <c r="CG54" s="553"/>
      <c r="CH54" s="553"/>
      <c r="CI54" s="366"/>
      <c r="CJ54" s="366"/>
      <c r="CK54" s="366"/>
      <c r="CL54" s="366"/>
      <c r="CM54" s="366"/>
      <c r="CN54" s="366"/>
    </row>
    <row r="55" spans="1:92" ht="11.25" customHeight="1">
      <c r="D55" s="366"/>
      <c r="E55" s="366"/>
      <c r="F55" s="366"/>
      <c r="G55" s="785" t="s">
        <v>85</v>
      </c>
      <c r="H55" s="785"/>
      <c r="I55" s="785"/>
      <c r="J55" s="785"/>
      <c r="K55" s="785"/>
      <c r="L55" s="785"/>
      <c r="M55" s="785"/>
      <c r="N55" s="785"/>
      <c r="O55" s="785"/>
      <c r="P55" s="732"/>
      <c r="Q55" s="793">
        <v>44</v>
      </c>
      <c r="R55" s="794"/>
      <c r="S55" s="794"/>
      <c r="T55" s="561" t="s">
        <v>49</v>
      </c>
      <c r="U55" s="788">
        <v>52.476615242429858</v>
      </c>
      <c r="V55" s="788"/>
      <c r="W55" s="788"/>
      <c r="X55" s="788"/>
      <c r="Y55" s="562" t="s">
        <v>181</v>
      </c>
      <c r="Z55" s="756" t="s">
        <v>421</v>
      </c>
      <c r="AA55" s="756"/>
      <c r="AB55" s="801"/>
      <c r="AC55" s="793">
        <v>176</v>
      </c>
      <c r="AD55" s="794"/>
      <c r="AE55" s="794"/>
      <c r="AF55" s="470" t="s">
        <v>49</v>
      </c>
      <c r="AG55" s="788">
        <v>18.254851786894619</v>
      </c>
      <c r="AH55" s="788"/>
      <c r="AI55" s="788"/>
      <c r="AJ55" s="788"/>
      <c r="AK55" s="562" t="s">
        <v>181</v>
      </c>
      <c r="AL55" s="756" t="s">
        <v>61</v>
      </c>
      <c r="AM55" s="756"/>
      <c r="AN55" s="756"/>
      <c r="AO55" s="730">
        <v>301.08495059563154</v>
      </c>
      <c r="AP55" s="731"/>
      <c r="AQ55" s="731"/>
      <c r="AR55" s="731"/>
      <c r="AS55" s="731"/>
      <c r="AT55" s="731"/>
      <c r="AU55" s="399" t="s">
        <v>49</v>
      </c>
      <c r="AV55" s="607"/>
      <c r="AW55" s="378"/>
      <c r="AX55" s="731">
        <v>0.56003884979872964</v>
      </c>
      <c r="AY55" s="731"/>
      <c r="AZ55" s="731"/>
      <c r="BA55" s="378" t="s">
        <v>49</v>
      </c>
      <c r="BB55" s="608"/>
      <c r="BC55" s="553"/>
      <c r="BD55" s="560"/>
      <c r="BE55" s="557"/>
      <c r="BF55" s="558"/>
      <c r="BG55" s="558"/>
      <c r="BH55" s="555"/>
      <c r="BI55" s="559"/>
      <c r="BJ55" s="559"/>
      <c r="BK55" s="553"/>
      <c r="BL55" s="553"/>
      <c r="BM55" s="553"/>
      <c r="BN55" s="553"/>
      <c r="BO55" s="553"/>
      <c r="BP55" s="553"/>
      <c r="BQ55" s="553"/>
      <c r="BR55" s="553"/>
      <c r="BS55" s="553"/>
      <c r="BT55" s="553"/>
      <c r="BU55" s="553"/>
      <c r="BV55" s="553"/>
      <c r="BW55" s="553"/>
      <c r="BX55" s="553"/>
      <c r="BY55" s="553"/>
      <c r="BZ55" s="553"/>
      <c r="CA55" s="553"/>
      <c r="CB55" s="553"/>
      <c r="CC55" s="553"/>
      <c r="CD55" s="553"/>
      <c r="CE55" s="553"/>
      <c r="CF55" s="553"/>
      <c r="CG55" s="553"/>
      <c r="CH55" s="553"/>
      <c r="CI55" s="366"/>
      <c r="CJ55" s="366"/>
      <c r="CK55" s="366"/>
      <c r="CL55" s="366"/>
      <c r="CM55" s="366"/>
      <c r="CN55" s="366"/>
    </row>
    <row r="56" spans="1:92" ht="11.25" customHeight="1">
      <c r="D56" s="366"/>
      <c r="E56" s="366"/>
      <c r="F56" s="366"/>
      <c r="G56" s="785" t="s">
        <v>107</v>
      </c>
      <c r="H56" s="785"/>
      <c r="I56" s="785"/>
      <c r="J56" s="785"/>
      <c r="K56" s="785"/>
      <c r="L56" s="785"/>
      <c r="M56" s="785"/>
      <c r="N56" s="785"/>
      <c r="O56" s="785"/>
      <c r="P56" s="732"/>
      <c r="Q56" s="793">
        <v>45</v>
      </c>
      <c r="R56" s="794"/>
      <c r="S56" s="794"/>
      <c r="T56" s="470" t="s">
        <v>49</v>
      </c>
      <c r="U56" s="788">
        <v>6.7547256991836946</v>
      </c>
      <c r="V56" s="788"/>
      <c r="W56" s="788"/>
      <c r="X56" s="788"/>
      <c r="Y56" s="376" t="s">
        <v>181</v>
      </c>
      <c r="Z56" s="728" t="s">
        <v>421</v>
      </c>
      <c r="AA56" s="728"/>
      <c r="AB56" s="754"/>
      <c r="AC56" s="793">
        <v>176</v>
      </c>
      <c r="AD56" s="794"/>
      <c r="AE56" s="794"/>
      <c r="AF56" s="470" t="s">
        <v>49</v>
      </c>
      <c r="AG56" s="788">
        <v>54.82574095852442</v>
      </c>
      <c r="AH56" s="788"/>
      <c r="AI56" s="788"/>
      <c r="AJ56" s="788"/>
      <c r="AK56" s="376" t="s">
        <v>181</v>
      </c>
      <c r="AL56" s="728" t="s">
        <v>61</v>
      </c>
      <c r="AM56" s="728"/>
      <c r="AN56" s="728"/>
      <c r="AO56" s="730">
        <v>44.275246986174807</v>
      </c>
      <c r="AP56" s="731"/>
      <c r="AQ56" s="731"/>
      <c r="AR56" s="731"/>
      <c r="AS56" s="731"/>
      <c r="AT56" s="731"/>
      <c r="AU56" s="399" t="s">
        <v>49</v>
      </c>
      <c r="AV56" s="607"/>
      <c r="AW56" s="378"/>
      <c r="AX56" s="731">
        <v>1.3640414397814311</v>
      </c>
      <c r="AY56" s="731"/>
      <c r="AZ56" s="731"/>
      <c r="BA56" s="378" t="s">
        <v>49</v>
      </c>
      <c r="BB56" s="608"/>
      <c r="BC56" s="553"/>
      <c r="BD56" s="560"/>
      <c r="BE56" s="557"/>
      <c r="BF56" s="558"/>
      <c r="BG56" s="558"/>
      <c r="BH56" s="555"/>
      <c r="BI56" s="559"/>
      <c r="BJ56" s="559"/>
      <c r="BK56" s="553"/>
      <c r="BL56" s="553"/>
      <c r="BM56" s="553"/>
      <c r="BN56" s="553"/>
      <c r="BO56" s="553"/>
      <c r="BP56" s="553"/>
      <c r="BQ56" s="609"/>
      <c r="BR56" s="609"/>
      <c r="BS56" s="609"/>
      <c r="BT56" s="609"/>
      <c r="BU56" s="609"/>
      <c r="BV56" s="609"/>
      <c r="BW56" s="609"/>
      <c r="BX56" s="609"/>
      <c r="BY56" s="609"/>
      <c r="BZ56" s="609"/>
      <c r="CA56" s="609"/>
      <c r="CB56" s="609"/>
      <c r="CC56" s="609"/>
      <c r="CD56" s="609"/>
      <c r="CE56" s="609"/>
      <c r="CF56" s="553"/>
      <c r="CG56" s="553"/>
      <c r="CH56" s="553"/>
      <c r="CI56" s="366"/>
      <c r="CJ56" s="366"/>
      <c r="CK56" s="366"/>
      <c r="CL56" s="366"/>
      <c r="CM56" s="366"/>
      <c r="CN56" s="366"/>
    </row>
    <row r="57" spans="1:92" ht="11.25" customHeight="1">
      <c r="D57" s="366"/>
      <c r="E57" s="366"/>
      <c r="F57" s="366"/>
      <c r="G57" s="785" t="s">
        <v>108</v>
      </c>
      <c r="H57" s="785"/>
      <c r="I57" s="785"/>
      <c r="J57" s="785"/>
      <c r="K57" s="785"/>
      <c r="L57" s="785"/>
      <c r="M57" s="785"/>
      <c r="N57" s="785"/>
      <c r="O57" s="785"/>
      <c r="P57" s="732"/>
      <c r="Q57" s="793">
        <v>44</v>
      </c>
      <c r="R57" s="794"/>
      <c r="S57" s="794"/>
      <c r="T57" s="470" t="s">
        <v>49</v>
      </c>
      <c r="U57" s="788">
        <v>34.969664714716089</v>
      </c>
      <c r="V57" s="788"/>
      <c r="W57" s="788"/>
      <c r="X57" s="788"/>
      <c r="Y57" s="376" t="s">
        <v>181</v>
      </c>
      <c r="Z57" s="728" t="s">
        <v>421</v>
      </c>
      <c r="AA57" s="728"/>
      <c r="AB57" s="754"/>
      <c r="AC57" s="793">
        <v>177</v>
      </c>
      <c r="AD57" s="794"/>
      <c r="AE57" s="794"/>
      <c r="AF57" s="470" t="s">
        <v>49</v>
      </c>
      <c r="AG57" s="788">
        <v>17.795105785199326</v>
      </c>
      <c r="AH57" s="788"/>
      <c r="AI57" s="788"/>
      <c r="AJ57" s="788"/>
      <c r="AK57" s="376" t="s">
        <v>181</v>
      </c>
      <c r="AL57" s="728" t="s">
        <v>61</v>
      </c>
      <c r="AM57" s="728"/>
      <c r="AN57" s="728"/>
      <c r="AO57" s="730">
        <v>115.44877644629983</v>
      </c>
      <c r="AP57" s="731"/>
      <c r="AQ57" s="731"/>
      <c r="AR57" s="731"/>
      <c r="AS57" s="731"/>
      <c r="AT57" s="731"/>
      <c r="AU57" s="399" t="s">
        <v>49</v>
      </c>
      <c r="AV57" s="607"/>
      <c r="AW57" s="378"/>
      <c r="AX57" s="731">
        <v>1.1680440297641326</v>
      </c>
      <c r="AY57" s="731"/>
      <c r="AZ57" s="731"/>
      <c r="BA57" s="378" t="s">
        <v>49</v>
      </c>
      <c r="BB57" s="608"/>
      <c r="BC57" s="553"/>
      <c r="BD57" s="560"/>
      <c r="BE57" s="557"/>
      <c r="BF57" s="558"/>
      <c r="BG57" s="558"/>
      <c r="BH57" s="555"/>
      <c r="BI57" s="559"/>
      <c r="BJ57" s="559"/>
      <c r="BK57" s="553"/>
      <c r="BL57" s="381"/>
      <c r="BM57" s="381"/>
      <c r="BN57" s="381"/>
      <c r="BO57" s="381"/>
      <c r="BP57" s="381"/>
      <c r="BQ57" s="381"/>
      <c r="BR57" s="381"/>
      <c r="BS57" s="381"/>
      <c r="BT57" s="381"/>
      <c r="BU57" s="381"/>
      <c r="BV57" s="381"/>
      <c r="BW57" s="612"/>
      <c r="BX57" s="381"/>
      <c r="BY57" s="612"/>
      <c r="BZ57" s="381"/>
      <c r="CA57" s="610"/>
      <c r="CB57" s="610"/>
      <c r="CC57" s="610"/>
      <c r="CD57" s="611"/>
      <c r="CE57" s="611"/>
      <c r="CF57" s="611"/>
      <c r="CG57" s="611"/>
      <c r="CH57" s="611"/>
      <c r="CI57" s="366"/>
      <c r="CJ57" s="366"/>
      <c r="CK57" s="366"/>
      <c r="CL57" s="366"/>
      <c r="CM57" s="366"/>
      <c r="CN57" s="366"/>
    </row>
    <row r="58" spans="1:92" ht="11.25" customHeight="1">
      <c r="A58" s="366"/>
      <c r="B58" s="366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561"/>
      <c r="N58" s="561"/>
      <c r="O58" s="561"/>
      <c r="P58" s="561"/>
      <c r="Q58" s="563"/>
      <c r="R58" s="563"/>
      <c r="S58" s="563"/>
      <c r="T58" s="563"/>
      <c r="U58" s="562"/>
      <c r="V58" s="552"/>
      <c r="W58" s="552"/>
      <c r="X58" s="552"/>
      <c r="Y58" s="561"/>
      <c r="Z58" s="561"/>
      <c r="AA58" s="561"/>
      <c r="AB58" s="561"/>
      <c r="AC58" s="563"/>
      <c r="AD58" s="563"/>
      <c r="AE58" s="563"/>
      <c r="AF58" s="563"/>
      <c r="AG58" s="562"/>
      <c r="AH58" s="552"/>
      <c r="AI58" s="552"/>
      <c r="AJ58" s="552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553"/>
      <c r="AZ58" s="553"/>
      <c r="BA58" s="553"/>
      <c r="BB58" s="553"/>
      <c r="BC58" s="553"/>
      <c r="BD58" s="553"/>
      <c r="BE58" s="553"/>
      <c r="BF58" s="553"/>
      <c r="BG58" s="553"/>
      <c r="BH58" s="553"/>
      <c r="BI58" s="553"/>
      <c r="BJ58" s="553"/>
      <c r="BK58" s="553"/>
      <c r="BL58" s="553"/>
      <c r="BM58" s="553"/>
      <c r="BN58" s="553"/>
      <c r="BO58" s="553"/>
      <c r="BP58" s="553"/>
      <c r="BQ58" s="553"/>
      <c r="BR58" s="553"/>
      <c r="BS58" s="553"/>
      <c r="BT58" s="553"/>
      <c r="BU58" s="553"/>
      <c r="BV58" s="553"/>
      <c r="BW58" s="553"/>
      <c r="BX58" s="553"/>
      <c r="BY58" s="553"/>
      <c r="BZ58" s="553"/>
      <c r="CA58" s="553"/>
      <c r="CB58" s="553"/>
      <c r="CC58" s="553"/>
      <c r="CD58" s="553"/>
      <c r="CE58" s="553"/>
      <c r="CF58" s="553"/>
      <c r="CG58" s="553"/>
      <c r="CH58" s="553"/>
      <c r="CI58" s="366"/>
      <c r="CJ58" s="366"/>
    </row>
    <row r="59" spans="1:92" ht="11.25" customHeight="1">
      <c r="A59" s="366"/>
      <c r="B59" s="367" t="s">
        <v>384</v>
      </c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366"/>
      <c r="AB59" s="366"/>
      <c r="AC59" s="366"/>
      <c r="AD59" s="366"/>
      <c r="AE59" s="366"/>
      <c r="AF59" s="366"/>
      <c r="AG59" s="366"/>
      <c r="AH59" s="366"/>
      <c r="AI59" s="366"/>
      <c r="AJ59" s="366"/>
      <c r="AK59" s="366"/>
      <c r="AL59" s="366"/>
      <c r="AM59" s="366"/>
      <c r="AN59" s="366"/>
      <c r="AO59" s="553"/>
      <c r="AP59" s="553"/>
      <c r="AQ59" s="553"/>
      <c r="AR59" s="553"/>
      <c r="AS59" s="553"/>
      <c r="AT59" s="553"/>
      <c r="AU59" s="553"/>
      <c r="AV59" s="553"/>
      <c r="AW59" s="553"/>
      <c r="AX59" s="553"/>
      <c r="AY59" s="553"/>
      <c r="AZ59" s="553"/>
      <c r="BA59" s="553"/>
      <c r="BB59" s="553"/>
      <c r="BC59" s="553"/>
      <c r="BD59" s="553"/>
      <c r="BE59" s="553"/>
      <c r="BF59" s="553"/>
      <c r="BG59" s="553"/>
      <c r="BH59" s="553"/>
      <c r="BI59" s="553"/>
      <c r="BJ59" s="553"/>
      <c r="BK59" s="553"/>
      <c r="BL59" s="553"/>
      <c r="BM59" s="553"/>
      <c r="BN59" s="553"/>
      <c r="BO59" s="553"/>
      <c r="BP59" s="553"/>
      <c r="BQ59" s="553"/>
      <c r="BR59" s="553"/>
      <c r="BS59" s="553"/>
      <c r="BT59" s="553"/>
      <c r="BU59" s="553"/>
      <c r="BV59" s="553"/>
      <c r="BW59" s="553"/>
      <c r="BX59" s="553"/>
      <c r="BY59" s="553"/>
      <c r="BZ59" s="553"/>
      <c r="CA59" s="553"/>
      <c r="CB59" s="553"/>
      <c r="CC59" s="553"/>
      <c r="CD59" s="553"/>
      <c r="CE59" s="553"/>
      <c r="CF59" s="553"/>
      <c r="CG59" s="553"/>
      <c r="CH59" s="553"/>
      <c r="CI59" s="366"/>
      <c r="CJ59" s="366"/>
    </row>
    <row r="60" spans="1:92" ht="11.25" customHeight="1">
      <c r="A60" s="366"/>
      <c r="B60" s="366"/>
      <c r="C60" s="367" t="s">
        <v>366</v>
      </c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366"/>
      <c r="X60" s="366"/>
      <c r="Y60" s="366"/>
      <c r="Z60" s="366"/>
      <c r="AA60" s="366"/>
      <c r="AB60" s="366"/>
      <c r="AC60" s="366"/>
      <c r="AD60" s="366"/>
      <c r="AE60" s="366"/>
      <c r="AF60" s="366"/>
      <c r="AG60" s="366"/>
      <c r="AH60" s="366"/>
      <c r="AI60" s="366"/>
      <c r="AJ60" s="366"/>
      <c r="AK60" s="366"/>
      <c r="AL60" s="366"/>
      <c r="AM60" s="366"/>
      <c r="AN60" s="366"/>
      <c r="AO60" s="553"/>
      <c r="AP60" s="553"/>
      <c r="AQ60" s="553"/>
      <c r="AR60" s="553"/>
      <c r="AS60" s="553"/>
      <c r="AT60" s="367"/>
      <c r="AU60" s="553"/>
      <c r="AV60" s="553"/>
      <c r="AW60" s="553"/>
      <c r="AX60" s="553"/>
      <c r="AY60" s="553"/>
      <c r="AZ60" s="553"/>
      <c r="BA60" s="553"/>
      <c r="BB60" s="553"/>
      <c r="BC60" s="553"/>
      <c r="BD60" s="553"/>
      <c r="BE60" s="553"/>
      <c r="BF60" s="553"/>
      <c r="BG60" s="553"/>
      <c r="BH60" s="553"/>
      <c r="BI60" s="553"/>
      <c r="BJ60" s="553"/>
      <c r="BK60" s="553"/>
      <c r="BL60" s="553"/>
      <c r="BM60" s="553"/>
      <c r="BN60" s="553"/>
      <c r="BO60" s="553"/>
      <c r="BP60" s="553"/>
      <c r="BQ60" s="553"/>
      <c r="BR60" s="553"/>
      <c r="BS60" s="553"/>
      <c r="BT60" s="553"/>
      <c r="BU60" s="553"/>
      <c r="BV60" s="553"/>
      <c r="BW60" s="553"/>
      <c r="BX60" s="553"/>
      <c r="BY60" s="553"/>
      <c r="BZ60" s="553"/>
      <c r="CA60" s="553"/>
      <c r="CB60" s="553"/>
      <c r="CC60" s="553"/>
      <c r="CD60" s="553"/>
      <c r="CE60" s="553"/>
      <c r="CF60" s="553"/>
      <c r="CG60" s="553"/>
      <c r="CH60" s="553"/>
      <c r="CI60" s="366"/>
      <c r="CJ60" s="366"/>
    </row>
    <row r="61" spans="1:92" ht="11.25" customHeight="1">
      <c r="A61" s="366"/>
      <c r="B61" s="366"/>
      <c r="C61" s="367" t="s">
        <v>367</v>
      </c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366"/>
      <c r="X61" s="366"/>
      <c r="Y61" s="366"/>
      <c r="Z61" s="366"/>
      <c r="AA61" s="366"/>
      <c r="AB61" s="366"/>
      <c r="AC61" s="366"/>
      <c r="AD61" s="366"/>
      <c r="AE61" s="366"/>
      <c r="AF61" s="366"/>
      <c r="AG61" s="366"/>
      <c r="AH61" s="366"/>
      <c r="AI61" s="366"/>
      <c r="AJ61" s="366"/>
      <c r="AK61" s="366"/>
      <c r="AL61" s="366"/>
      <c r="AM61" s="366"/>
      <c r="AN61" s="366"/>
      <c r="AO61" s="553"/>
      <c r="AP61" s="553"/>
      <c r="AQ61" s="553"/>
      <c r="AR61" s="553"/>
      <c r="AS61" s="553"/>
      <c r="AT61" s="553"/>
      <c r="AU61" s="553"/>
      <c r="AV61" s="367"/>
      <c r="AW61" s="553"/>
      <c r="AX61" s="553"/>
      <c r="AY61" s="553"/>
      <c r="AZ61" s="553"/>
      <c r="BA61" s="553"/>
      <c r="BB61" s="553"/>
      <c r="BC61" s="553"/>
      <c r="BD61" s="553"/>
      <c r="BE61" s="553"/>
      <c r="BF61" s="553"/>
      <c r="BG61" s="553"/>
      <c r="BH61" s="553"/>
      <c r="BI61" s="553"/>
      <c r="BJ61" s="553"/>
      <c r="BK61" s="553"/>
      <c r="BL61" s="553"/>
      <c r="BM61" s="553"/>
      <c r="BN61" s="553"/>
      <c r="BO61" s="553"/>
      <c r="BP61" s="553"/>
      <c r="BQ61" s="553"/>
      <c r="BR61" s="553"/>
      <c r="BS61" s="553"/>
      <c r="BT61" s="553"/>
      <c r="BU61" s="553"/>
      <c r="BV61" s="553"/>
      <c r="BW61" s="553"/>
      <c r="BX61" s="553"/>
      <c r="BY61" s="553"/>
      <c r="BZ61" s="553"/>
      <c r="CA61" s="553"/>
      <c r="CB61" s="553"/>
      <c r="CC61" s="553"/>
      <c r="CD61" s="553"/>
      <c r="CE61" s="553"/>
      <c r="CF61" s="553"/>
      <c r="CG61" s="553"/>
      <c r="CH61" s="553"/>
      <c r="CI61" s="366"/>
      <c r="CJ61" s="366"/>
    </row>
    <row r="62" spans="1:92" ht="11.25" customHeight="1">
      <c r="A62" s="366"/>
      <c r="B62" s="366"/>
      <c r="C62" s="366"/>
      <c r="D62" s="367" t="s">
        <v>175</v>
      </c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>
        <v>13</v>
      </c>
      <c r="S62" s="367" t="s">
        <v>315</v>
      </c>
      <c r="T62" s="400"/>
      <c r="U62" s="400"/>
      <c r="V62" s="400"/>
      <c r="W62" s="400"/>
      <c r="X62" s="400"/>
      <c r="Y62" s="400"/>
      <c r="Z62" s="400"/>
      <c r="AA62" s="400"/>
      <c r="AB62" s="400"/>
      <c r="AC62" s="400"/>
      <c r="AD62" s="400"/>
      <c r="AE62" s="400"/>
      <c r="AF62" s="400"/>
      <c r="AG62" s="400"/>
      <c r="AH62" s="400"/>
      <c r="AI62" s="400"/>
      <c r="AJ62" s="400"/>
      <c r="AK62" s="400"/>
      <c r="AL62" s="400"/>
      <c r="AM62" s="400"/>
      <c r="AN62" s="400"/>
      <c r="AO62" s="367"/>
      <c r="AP62" s="367"/>
      <c r="AQ62" s="367"/>
      <c r="AR62" s="367"/>
      <c r="AS62" s="553"/>
      <c r="AT62" s="553"/>
      <c r="AU62" s="553"/>
      <c r="AV62" s="553"/>
      <c r="AW62" s="367" t="s">
        <v>176</v>
      </c>
      <c r="AX62" s="553"/>
      <c r="AY62" s="553"/>
      <c r="AZ62" s="553"/>
      <c r="BA62" s="553"/>
      <c r="BB62" s="553"/>
      <c r="BC62" s="553"/>
      <c r="BD62" s="553"/>
      <c r="BE62" s="553"/>
      <c r="BF62" s="553"/>
      <c r="BG62" s="553"/>
      <c r="BH62" s="553"/>
      <c r="BI62" s="553"/>
      <c r="BJ62" s="553"/>
      <c r="BK62" s="553">
        <v>1</v>
      </c>
      <c r="BL62" s="367" t="s">
        <v>314</v>
      </c>
      <c r="BM62" s="553"/>
      <c r="BN62" s="553"/>
      <c r="BO62" s="553"/>
      <c r="BP62" s="553"/>
      <c r="BQ62" s="553"/>
      <c r="BR62" s="553"/>
      <c r="BS62" s="553"/>
      <c r="BT62" s="553"/>
      <c r="BU62" s="553"/>
      <c r="BV62" s="553"/>
      <c r="BW62" s="553"/>
      <c r="BX62" s="553"/>
      <c r="BY62" s="553"/>
      <c r="BZ62" s="553"/>
      <c r="CA62" s="553"/>
      <c r="CB62" s="553"/>
      <c r="CC62" s="553"/>
      <c r="CD62" s="553"/>
      <c r="CE62" s="553"/>
      <c r="CF62" s="553"/>
      <c r="CG62" s="553"/>
      <c r="CH62" s="553"/>
      <c r="CI62" s="366"/>
      <c r="CJ62" s="366"/>
    </row>
    <row r="63" spans="1:92" ht="11.25" customHeight="1">
      <c r="A63" s="366"/>
      <c r="B63" s="366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6"/>
      <c r="T63" s="366"/>
      <c r="U63" s="366"/>
      <c r="V63" s="366"/>
      <c r="W63" s="366"/>
      <c r="X63" s="366"/>
      <c r="Y63" s="366"/>
      <c r="Z63" s="366"/>
      <c r="AA63" s="366"/>
      <c r="AB63" s="366"/>
      <c r="AC63" s="366"/>
      <c r="AD63" s="366"/>
      <c r="AE63" s="366"/>
      <c r="AF63" s="366"/>
      <c r="AG63" s="366"/>
      <c r="AH63" s="366"/>
      <c r="AI63" s="366"/>
      <c r="AJ63" s="366"/>
      <c r="AK63" s="366"/>
      <c r="AL63" s="366"/>
      <c r="AM63" s="366"/>
      <c r="AN63" s="366"/>
      <c r="AO63" s="553"/>
      <c r="AP63" s="553"/>
      <c r="AQ63" s="553"/>
      <c r="AR63" s="553"/>
      <c r="AS63" s="553"/>
      <c r="AT63" s="553"/>
      <c r="AU63" s="553"/>
      <c r="AV63" s="553"/>
      <c r="AW63" s="553"/>
      <c r="AX63" s="553"/>
      <c r="AY63" s="553"/>
      <c r="AZ63" s="553"/>
      <c r="BA63" s="553"/>
      <c r="BB63" s="553"/>
      <c r="BC63" s="553"/>
      <c r="BD63" s="553"/>
      <c r="BE63" s="553"/>
      <c r="BF63" s="553"/>
      <c r="BG63" s="553"/>
      <c r="BH63" s="553"/>
      <c r="BI63" s="553"/>
      <c r="BJ63" s="553"/>
      <c r="BK63" s="553"/>
      <c r="BL63" s="553"/>
      <c r="BM63" s="553"/>
      <c r="BN63" s="553"/>
      <c r="BO63" s="553"/>
      <c r="BP63" s="553"/>
      <c r="BQ63" s="553"/>
      <c r="BR63" s="553"/>
      <c r="BS63" s="553"/>
      <c r="BT63" s="553"/>
      <c r="BU63" s="553"/>
      <c r="BV63" s="553"/>
      <c r="BW63" s="553"/>
      <c r="BX63" s="553"/>
      <c r="BY63" s="553"/>
      <c r="BZ63" s="553"/>
      <c r="CA63" s="553"/>
      <c r="CB63" s="553"/>
      <c r="CC63" s="553"/>
      <c r="CD63" s="553"/>
      <c r="CE63" s="553"/>
      <c r="CF63" s="553"/>
      <c r="CG63" s="553"/>
      <c r="CH63" s="553"/>
      <c r="CI63" s="366"/>
      <c r="CJ63" s="366"/>
    </row>
    <row r="64" spans="1:92" ht="11.25" customHeight="1">
      <c r="AO64" s="604"/>
      <c r="AP64" s="604"/>
      <c r="AQ64" s="604"/>
      <c r="AR64" s="604"/>
      <c r="AS64" s="604"/>
      <c r="AT64" s="604"/>
      <c r="AU64" s="604"/>
      <c r="AV64" s="604"/>
      <c r="AW64" s="604"/>
      <c r="AX64" s="604"/>
      <c r="AY64" s="604"/>
      <c r="AZ64" s="604"/>
      <c r="BA64" s="604"/>
      <c r="BB64" s="604"/>
      <c r="BC64" s="604"/>
      <c r="BD64" s="604"/>
      <c r="BE64" s="604"/>
      <c r="BF64" s="604"/>
      <c r="BG64" s="604"/>
      <c r="BH64" s="604"/>
      <c r="BI64" s="604"/>
      <c r="BJ64" s="604"/>
      <c r="BK64" s="604"/>
      <c r="BL64" s="604"/>
      <c r="BM64" s="604"/>
      <c r="BN64" s="604"/>
      <c r="BO64" s="604"/>
      <c r="BP64" s="604"/>
      <c r="BQ64" s="604"/>
      <c r="BR64" s="604"/>
      <c r="BS64" s="604"/>
      <c r="BT64" s="604"/>
      <c r="BU64" s="604"/>
      <c r="BV64" s="604"/>
      <c r="BW64" s="604"/>
      <c r="BX64" s="604"/>
      <c r="BY64" s="604"/>
      <c r="BZ64" s="604"/>
      <c r="CA64" s="604"/>
      <c r="CB64" s="604"/>
      <c r="CC64" s="604"/>
      <c r="CD64" s="604"/>
      <c r="CE64" s="604"/>
      <c r="CF64" s="604"/>
      <c r="CG64" s="604"/>
      <c r="CH64" s="604"/>
    </row>
    <row r="65" spans="1:87" ht="11.25" customHeight="1">
      <c r="A65" s="366"/>
      <c r="B65" s="390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6"/>
      <c r="V65" s="366"/>
      <c r="W65" s="366"/>
      <c r="X65" s="366"/>
      <c r="Y65" s="366"/>
      <c r="Z65" s="366"/>
      <c r="AA65" s="366"/>
      <c r="AB65" s="366"/>
      <c r="AC65" s="366"/>
      <c r="AD65" s="366"/>
      <c r="AE65" s="366"/>
      <c r="AF65" s="366"/>
      <c r="AG65" s="366"/>
      <c r="AH65" s="366"/>
      <c r="AI65" s="366"/>
      <c r="AJ65" s="366"/>
      <c r="AK65" s="366"/>
      <c r="AL65" s="366"/>
      <c r="AM65" s="366"/>
      <c r="AN65" s="366"/>
      <c r="AO65" s="366"/>
      <c r="AP65" s="366"/>
      <c r="AQ65" s="366"/>
      <c r="AR65" s="366"/>
      <c r="AS65" s="366"/>
      <c r="AT65" s="366"/>
      <c r="AU65" s="366"/>
      <c r="AV65" s="366"/>
      <c r="AW65" s="564"/>
      <c r="AX65" s="366"/>
      <c r="AY65" s="366"/>
      <c r="AZ65" s="366"/>
      <c r="BA65" s="366"/>
      <c r="BB65" s="366"/>
      <c r="BC65" s="729"/>
      <c r="BD65" s="729"/>
      <c r="BE65" s="366"/>
      <c r="BF65" s="366"/>
      <c r="BG65" s="366"/>
      <c r="BH65" s="366"/>
      <c r="BI65" s="366"/>
      <c r="BJ65" s="366"/>
      <c r="BK65" s="366"/>
      <c r="BL65" s="366"/>
      <c r="BM65" s="366"/>
      <c r="BN65" s="366"/>
      <c r="BO65" s="366"/>
      <c r="BP65" s="366"/>
      <c r="BQ65" s="366"/>
      <c r="BR65" s="390"/>
      <c r="BS65" s="366"/>
      <c r="BT65" s="366"/>
      <c r="BU65" s="366"/>
      <c r="BV65" s="366"/>
      <c r="BW65" s="366"/>
      <c r="BX65" s="366"/>
      <c r="BY65" s="366"/>
      <c r="BZ65" s="366"/>
      <c r="CA65" s="366"/>
      <c r="CB65" s="366"/>
      <c r="CC65" s="366"/>
      <c r="CD65" s="390"/>
      <c r="CE65" s="366"/>
      <c r="CF65" s="366"/>
      <c r="CG65" s="366"/>
      <c r="CH65" s="366"/>
      <c r="CI65" s="366"/>
    </row>
    <row r="66" spans="1:87" ht="11.25" customHeight="1">
      <c r="A66" s="366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  <c r="T66" s="366"/>
      <c r="U66" s="366"/>
      <c r="V66" s="366"/>
      <c r="W66" s="366"/>
      <c r="X66" s="366"/>
      <c r="Y66" s="366"/>
      <c r="Z66" s="366"/>
      <c r="AA66" s="366"/>
      <c r="AB66" s="366"/>
      <c r="AC66" s="366"/>
      <c r="AD66" s="366"/>
      <c r="AE66" s="366"/>
      <c r="AF66" s="366"/>
      <c r="AG66" s="366"/>
      <c r="AH66" s="366"/>
      <c r="AI66" s="366"/>
      <c r="AJ66" s="366"/>
      <c r="AK66" s="366"/>
      <c r="AL66" s="366"/>
      <c r="AM66" s="366"/>
      <c r="AN66" s="366"/>
      <c r="AO66" s="366"/>
      <c r="AP66" s="366"/>
      <c r="AQ66" s="366"/>
      <c r="AR66" s="366"/>
      <c r="AS66" s="366"/>
      <c r="AT66" s="366"/>
      <c r="AU66" s="366"/>
      <c r="AV66" s="366"/>
      <c r="AW66" s="366"/>
      <c r="AX66" s="366"/>
      <c r="AY66" s="366"/>
      <c r="AZ66" s="366"/>
      <c r="BA66" s="366"/>
      <c r="BB66" s="366"/>
      <c r="BC66" s="366"/>
      <c r="BD66" s="366"/>
      <c r="BE66" s="366"/>
      <c r="BF66" s="366"/>
      <c r="BG66" s="366"/>
      <c r="BH66" s="366"/>
      <c r="BI66" s="366"/>
      <c r="BJ66" s="366"/>
      <c r="BK66" s="366"/>
      <c r="BL66" s="366"/>
      <c r="BM66" s="366"/>
      <c r="BN66" s="366"/>
      <c r="BO66" s="366"/>
      <c r="BP66" s="366"/>
      <c r="BQ66" s="366"/>
      <c r="BR66" s="366"/>
      <c r="BS66" s="366"/>
      <c r="BT66" s="366"/>
      <c r="BU66" s="366"/>
      <c r="BV66" s="366"/>
      <c r="BW66" s="366"/>
      <c r="BX66" s="366"/>
      <c r="BY66" s="366"/>
      <c r="BZ66" s="366"/>
      <c r="CA66" s="366"/>
      <c r="CB66" s="366"/>
      <c r="CC66" s="366"/>
      <c r="CD66" s="366"/>
      <c r="CE66" s="366"/>
      <c r="CF66" s="366"/>
      <c r="CG66" s="366"/>
      <c r="CH66" s="366"/>
      <c r="CI66" s="366"/>
    </row>
    <row r="67" spans="1:87" ht="11.25" customHeight="1">
      <c r="A67" s="366"/>
      <c r="B67" s="367"/>
      <c r="C67" s="366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6"/>
      <c r="T67" s="366"/>
      <c r="U67" s="366"/>
      <c r="V67" s="366"/>
      <c r="W67" s="366"/>
      <c r="X67" s="366"/>
      <c r="Y67" s="366"/>
      <c r="Z67" s="366"/>
      <c r="AA67" s="366"/>
      <c r="AB67" s="366"/>
      <c r="AC67" s="366"/>
      <c r="AD67" s="366"/>
      <c r="AE67" s="366"/>
      <c r="AF67" s="366"/>
      <c r="AG67" s="366"/>
      <c r="AH67" s="366"/>
      <c r="AI67" s="366"/>
      <c r="AJ67" s="366"/>
      <c r="AK67" s="366"/>
      <c r="AL67" s="366"/>
      <c r="AM67" s="366"/>
      <c r="AN67" s="366"/>
      <c r="AO67" s="366"/>
      <c r="AP67" s="366"/>
      <c r="AQ67" s="366"/>
      <c r="AR67" s="366"/>
      <c r="AS67" s="366"/>
      <c r="AT67" s="366"/>
      <c r="AU67" s="366"/>
      <c r="AV67" s="366"/>
      <c r="AW67" s="366"/>
      <c r="AX67" s="366"/>
      <c r="AY67" s="366"/>
      <c r="AZ67" s="366"/>
      <c r="BA67" s="366"/>
      <c r="BB67" s="366"/>
      <c r="BC67" s="366"/>
      <c r="BD67" s="366"/>
      <c r="BE67" s="366"/>
      <c r="BF67" s="366"/>
      <c r="BG67" s="366"/>
      <c r="BH67" s="366"/>
      <c r="BI67" s="366"/>
      <c r="BJ67" s="366"/>
      <c r="BK67" s="366"/>
      <c r="BL67" s="366"/>
      <c r="BM67" s="366"/>
      <c r="BN67" s="366"/>
      <c r="BO67" s="366"/>
      <c r="BP67" s="366"/>
      <c r="BQ67" s="366"/>
      <c r="BR67" s="366"/>
      <c r="BS67" s="366"/>
      <c r="BT67" s="366"/>
      <c r="BU67" s="366"/>
      <c r="BV67" s="366"/>
      <c r="BW67" s="366"/>
      <c r="BX67" s="366"/>
      <c r="BY67" s="366"/>
      <c r="BZ67" s="366"/>
      <c r="CA67" s="366"/>
      <c r="CB67" s="366"/>
      <c r="CC67" s="366"/>
      <c r="CD67" s="366"/>
      <c r="CE67" s="366"/>
      <c r="CF67" s="366"/>
      <c r="CG67" s="366"/>
      <c r="CH67" s="366"/>
      <c r="CI67" s="366"/>
    </row>
  </sheetData>
  <mergeCells count="256">
    <mergeCell ref="G56:P56"/>
    <mergeCell ref="Q56:S56"/>
    <mergeCell ref="U56:X56"/>
    <mergeCell ref="Z56:AB56"/>
    <mergeCell ref="AC56:AE56"/>
    <mergeCell ref="AG56:AJ56"/>
    <mergeCell ref="AL56:AN56"/>
    <mergeCell ref="AX56:AZ56"/>
    <mergeCell ref="G57:P57"/>
    <mergeCell ref="Q57:S57"/>
    <mergeCell ref="U57:X57"/>
    <mergeCell ref="Z57:AB57"/>
    <mergeCell ref="AC57:AE57"/>
    <mergeCell ref="AG57:AJ57"/>
    <mergeCell ref="AL57:AN57"/>
    <mergeCell ref="AX57:AZ57"/>
    <mergeCell ref="AL54:AN54"/>
    <mergeCell ref="AX54:AZ54"/>
    <mergeCell ref="G55:P55"/>
    <mergeCell ref="Q55:S55"/>
    <mergeCell ref="U55:X55"/>
    <mergeCell ref="Z55:AB55"/>
    <mergeCell ref="AC55:AE55"/>
    <mergeCell ref="AG55:AJ55"/>
    <mergeCell ref="AL55:AN55"/>
    <mergeCell ref="G54:P54"/>
    <mergeCell ref="Q54:S54"/>
    <mergeCell ref="U54:X54"/>
    <mergeCell ref="Z54:AB54"/>
    <mergeCell ref="AC54:AE54"/>
    <mergeCell ref="AG54:AJ54"/>
    <mergeCell ref="AX55:AZ55"/>
    <mergeCell ref="G51:P52"/>
    <mergeCell ref="Q51:AN51"/>
    <mergeCell ref="AO51:AU51"/>
    <mergeCell ref="AV51:BB51"/>
    <mergeCell ref="Q52:AB52"/>
    <mergeCell ref="AC52:AN52"/>
    <mergeCell ref="AO52:AU52"/>
    <mergeCell ref="AV52:BB52"/>
    <mergeCell ref="G53:P53"/>
    <mergeCell ref="Q53:S53"/>
    <mergeCell ref="U53:X53"/>
    <mergeCell ref="Z53:AB53"/>
    <mergeCell ref="AC53:AE53"/>
    <mergeCell ref="AG53:AJ53"/>
    <mergeCell ref="AL53:AN53"/>
    <mergeCell ref="AO53:AU53"/>
    <mergeCell ref="AV53:BB53"/>
    <mergeCell ref="AO47:AU47"/>
    <mergeCell ref="AV47:AX47"/>
    <mergeCell ref="AY47:BB47"/>
    <mergeCell ref="G48:P48"/>
    <mergeCell ref="Q48:S48"/>
    <mergeCell ref="U48:X48"/>
    <mergeCell ref="Z48:AB48"/>
    <mergeCell ref="AC48:AE48"/>
    <mergeCell ref="AG48:AJ48"/>
    <mergeCell ref="AL48:AN48"/>
    <mergeCell ref="AO48:AU48"/>
    <mergeCell ref="AV48:AX48"/>
    <mergeCell ref="AY48:BB48"/>
    <mergeCell ref="G47:P47"/>
    <mergeCell ref="Q47:S47"/>
    <mergeCell ref="U47:X47"/>
    <mergeCell ref="Z47:AB47"/>
    <mergeCell ref="AC47:AE47"/>
    <mergeCell ref="AG47:AJ47"/>
    <mergeCell ref="AL47:AN47"/>
    <mergeCell ref="AK40:AM40"/>
    <mergeCell ref="AO40:AR40"/>
    <mergeCell ref="AT40:AV40"/>
    <mergeCell ref="G46:P46"/>
    <mergeCell ref="Q46:S46"/>
    <mergeCell ref="U46:X46"/>
    <mergeCell ref="Z46:AB46"/>
    <mergeCell ref="AC46:AE46"/>
    <mergeCell ref="AG46:AJ46"/>
    <mergeCell ref="G44:P45"/>
    <mergeCell ref="Q44:AN44"/>
    <mergeCell ref="AO44:AU44"/>
    <mergeCell ref="AK41:AM41"/>
    <mergeCell ref="AO41:AR41"/>
    <mergeCell ref="AT41:AV41"/>
    <mergeCell ref="AA40:AD40"/>
    <mergeCell ref="AF40:AH40"/>
    <mergeCell ref="AI40:AJ41"/>
    <mergeCell ref="I41:K41"/>
    <mergeCell ref="M41:P41"/>
    <mergeCell ref="R41:T41"/>
    <mergeCell ref="W41:Y41"/>
    <mergeCell ref="AA41:AD41"/>
    <mergeCell ref="AF41:AH41"/>
    <mergeCell ref="AV44:BB44"/>
    <mergeCell ref="Q45:AB45"/>
    <mergeCell ref="AC45:AN45"/>
    <mergeCell ref="AO45:AU45"/>
    <mergeCell ref="AV45:BB45"/>
    <mergeCell ref="AL46:AN46"/>
    <mergeCell ref="AO46:AU46"/>
    <mergeCell ref="AV46:BB46"/>
    <mergeCell ref="G38:H39"/>
    <mergeCell ref="I38:K38"/>
    <mergeCell ref="M38:P38"/>
    <mergeCell ref="R38:T38"/>
    <mergeCell ref="U38:V39"/>
    <mergeCell ref="W38:Y38"/>
    <mergeCell ref="I39:K39"/>
    <mergeCell ref="M39:P39"/>
    <mergeCell ref="R39:T39"/>
    <mergeCell ref="W39:Y39"/>
    <mergeCell ref="G40:H41"/>
    <mergeCell ref="I40:K40"/>
    <mergeCell ref="M40:P40"/>
    <mergeCell ref="R40:T40"/>
    <mergeCell ref="U40:V41"/>
    <mergeCell ref="W40:Y40"/>
    <mergeCell ref="AA38:AD38"/>
    <mergeCell ref="AF38:AH38"/>
    <mergeCell ref="AI38:AJ39"/>
    <mergeCell ref="AK38:AM38"/>
    <mergeCell ref="AO38:AR38"/>
    <mergeCell ref="AT38:AV38"/>
    <mergeCell ref="AA39:AD39"/>
    <mergeCell ref="AF39:AH39"/>
    <mergeCell ref="AK39:AM39"/>
    <mergeCell ref="AO39:AR39"/>
    <mergeCell ref="AT39:AV39"/>
    <mergeCell ref="G37:T37"/>
    <mergeCell ref="U37:AH37"/>
    <mergeCell ref="AI37:AV37"/>
    <mergeCell ref="BC29:BJ29"/>
    <mergeCell ref="G30:I30"/>
    <mergeCell ref="K30:M30"/>
    <mergeCell ref="O30:Q30"/>
    <mergeCell ref="S30:U30"/>
    <mergeCell ref="W30:Y30"/>
    <mergeCell ref="AA30:AC30"/>
    <mergeCell ref="AM30:AO30"/>
    <mergeCell ref="AQ30:AS30"/>
    <mergeCell ref="AU30:AW30"/>
    <mergeCell ref="BC27:BE27"/>
    <mergeCell ref="BG27:BI27"/>
    <mergeCell ref="G29:N29"/>
    <mergeCell ref="O29:V29"/>
    <mergeCell ref="W29:AD29"/>
    <mergeCell ref="AM29:AT29"/>
    <mergeCell ref="AU29:BB29"/>
    <mergeCell ref="AY30:BA30"/>
    <mergeCell ref="BC30:BE30"/>
    <mergeCell ref="BG30:BI30"/>
    <mergeCell ref="CA16:CH16"/>
    <mergeCell ref="BB17:BC17"/>
    <mergeCell ref="BE17:BG17"/>
    <mergeCell ref="BJ17:BK17"/>
    <mergeCell ref="BM17:BO17"/>
    <mergeCell ref="BC26:BJ26"/>
    <mergeCell ref="G27:I27"/>
    <mergeCell ref="K27:M27"/>
    <mergeCell ref="O27:Q27"/>
    <mergeCell ref="S27:U27"/>
    <mergeCell ref="W27:Y27"/>
    <mergeCell ref="AA27:AC27"/>
    <mergeCell ref="AE27:AG27"/>
    <mergeCell ref="AI27:AK27"/>
    <mergeCell ref="AM27:AO27"/>
    <mergeCell ref="G26:N26"/>
    <mergeCell ref="O26:V26"/>
    <mergeCell ref="W26:AD26"/>
    <mergeCell ref="AE26:AL26"/>
    <mergeCell ref="AM26:AT26"/>
    <mergeCell ref="AU26:BB26"/>
    <mergeCell ref="AQ27:AS27"/>
    <mergeCell ref="AU27:AW27"/>
    <mergeCell ref="AY27:BA27"/>
    <mergeCell ref="AY19:BC19"/>
    <mergeCell ref="G25:AD25"/>
    <mergeCell ref="AE25:AL25"/>
    <mergeCell ref="AM25:AT25"/>
    <mergeCell ref="AU25:BB25"/>
    <mergeCell ref="BC25:BJ25"/>
    <mergeCell ref="BK16:BR16"/>
    <mergeCell ref="BS16:BZ16"/>
    <mergeCell ref="AU15:AW15"/>
    <mergeCell ref="BW15:BY15"/>
    <mergeCell ref="CE15:CG15"/>
    <mergeCell ref="G16:N16"/>
    <mergeCell ref="O16:V16"/>
    <mergeCell ref="W16:AD16"/>
    <mergeCell ref="AE16:AL16"/>
    <mergeCell ref="AM16:AT16"/>
    <mergeCell ref="AU16:BB16"/>
    <mergeCell ref="BC16:BJ16"/>
    <mergeCell ref="AY15:BA15"/>
    <mergeCell ref="BC15:BE15"/>
    <mergeCell ref="BG15:BI15"/>
    <mergeCell ref="BK15:BM15"/>
    <mergeCell ref="BO15:BQ15"/>
    <mergeCell ref="BS15:BU15"/>
    <mergeCell ref="G14:N15"/>
    <mergeCell ref="W14:Y14"/>
    <mergeCell ref="AA14:AC14"/>
    <mergeCell ref="AE14:AG14"/>
    <mergeCell ref="CE14:CG14"/>
    <mergeCell ref="O15:Q15"/>
    <mergeCell ref="S15:U15"/>
    <mergeCell ref="W15:Y15"/>
    <mergeCell ref="CA14:CC14"/>
    <mergeCell ref="BG14:BI14"/>
    <mergeCell ref="CA15:CC15"/>
    <mergeCell ref="BC10:BJ10"/>
    <mergeCell ref="G9:N9"/>
    <mergeCell ref="O9:V9"/>
    <mergeCell ref="W9:AD9"/>
    <mergeCell ref="AE9:AL9"/>
    <mergeCell ref="AM9:AT9"/>
    <mergeCell ref="AU9:BB9"/>
    <mergeCell ref="BS14:BU14"/>
    <mergeCell ref="BW14:BY14"/>
    <mergeCell ref="AM14:AO14"/>
    <mergeCell ref="AQ14:AS14"/>
    <mergeCell ref="AU14:AW14"/>
    <mergeCell ref="AY14:BA14"/>
    <mergeCell ref="BC14:BE14"/>
    <mergeCell ref="AA15:AC15"/>
    <mergeCell ref="AE15:AG15"/>
    <mergeCell ref="AI15:AK15"/>
    <mergeCell ref="AM15:AO15"/>
    <mergeCell ref="AQ15:AS15"/>
    <mergeCell ref="AI14:AK14"/>
    <mergeCell ref="BK14:BM14"/>
    <mergeCell ref="BO14:BQ14"/>
    <mergeCell ref="AJ6:AR6"/>
    <mergeCell ref="BC65:BD65"/>
    <mergeCell ref="BC1:BD1"/>
    <mergeCell ref="AO54:AT54"/>
    <mergeCell ref="AO55:AT55"/>
    <mergeCell ref="AO56:AT56"/>
    <mergeCell ref="AO57:AT57"/>
    <mergeCell ref="G5:R5"/>
    <mergeCell ref="S5:AI5"/>
    <mergeCell ref="AJ5:AU5"/>
    <mergeCell ref="G6:K6"/>
    <mergeCell ref="M6:Q6"/>
    <mergeCell ref="S6:V6"/>
    <mergeCell ref="X6:AB6"/>
    <mergeCell ref="AD6:AH6"/>
    <mergeCell ref="O14:Q14"/>
    <mergeCell ref="S14:U14"/>
    <mergeCell ref="BC9:BJ9"/>
    <mergeCell ref="G10:N10"/>
    <mergeCell ref="O10:V10"/>
    <mergeCell ref="W10:AD10"/>
    <mergeCell ref="AE10:AL10"/>
    <mergeCell ref="AM10:AT10"/>
    <mergeCell ref="AU10:BB10"/>
  </mergeCells>
  <pageMargins left="0.23622047244094491" right="3.937007874015748E-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6"/>
  <sheetViews>
    <sheetView zoomScale="110" zoomScaleNormal="110" workbookViewId="0">
      <selection activeCell="K12" sqref="K12"/>
    </sheetView>
  </sheetViews>
  <sheetFormatPr defaultRowHeight="15"/>
  <cols>
    <col min="1" max="1" width="9.5703125" customWidth="1"/>
    <col min="2" max="2" width="10.5703125" bestFit="1" customWidth="1"/>
    <col min="3" max="3" width="11.5703125" customWidth="1"/>
    <col min="4" max="4" width="9.7109375" customWidth="1"/>
    <col min="5" max="5" width="11.7109375" customWidth="1"/>
    <col min="6" max="6" width="12" customWidth="1"/>
    <col min="7" max="7" width="10.85546875" bestFit="1" customWidth="1"/>
    <col min="8" max="8" width="7.7109375" bestFit="1" customWidth="1"/>
    <col min="9" max="9" width="10.5703125" customWidth="1"/>
    <col min="10" max="10" width="19.7109375" customWidth="1"/>
    <col min="11" max="11" width="11.85546875" customWidth="1"/>
    <col min="12" max="13" width="9.140625" customWidth="1"/>
    <col min="14" max="15" width="9.140625" style="644" customWidth="1"/>
    <col min="16" max="18" width="9.140625" style="644"/>
  </cols>
  <sheetData>
    <row r="1" spans="1:16">
      <c r="A1" s="803" t="s">
        <v>182</v>
      </c>
      <c r="B1" s="803"/>
      <c r="C1" s="803"/>
      <c r="D1" s="803"/>
      <c r="E1" s="803"/>
      <c r="F1" s="803"/>
      <c r="G1" s="88">
        <v>70</v>
      </c>
    </row>
    <row r="2" spans="1:16">
      <c r="A2" s="802" t="s">
        <v>238</v>
      </c>
      <c r="B2" s="802"/>
      <c r="C2" s="802"/>
      <c r="D2" s="802"/>
      <c r="E2" s="802"/>
      <c r="F2" s="802"/>
      <c r="G2" s="802"/>
      <c r="H2" s="802"/>
      <c r="I2" s="802"/>
    </row>
    <row r="3" spans="1:16">
      <c r="B3" t="s">
        <v>446</v>
      </c>
      <c r="C3" s="88"/>
      <c r="D3" s="700" t="s">
        <v>444</v>
      </c>
      <c r="E3" s="818" t="s">
        <v>445</v>
      </c>
      <c r="F3" s="818"/>
      <c r="G3" s="88"/>
      <c r="H3" s="88"/>
      <c r="I3" s="88"/>
    </row>
    <row r="4" spans="1:16" ht="36" customHeight="1" thickBot="1">
      <c r="A4" s="812" t="s">
        <v>262</v>
      </c>
      <c r="B4" s="812"/>
      <c r="C4" s="812"/>
      <c r="D4" s="812"/>
      <c r="E4" s="812"/>
      <c r="F4" s="812"/>
      <c r="G4" s="812"/>
      <c r="H4" s="812"/>
      <c r="I4" s="812"/>
      <c r="J4" s="474"/>
    </row>
    <row r="5" spans="1:16" ht="18.600000000000001" customHeight="1" thickBot="1">
      <c r="B5" s="809" t="s">
        <v>30</v>
      </c>
      <c r="C5" s="811"/>
      <c r="D5" s="809" t="s">
        <v>32</v>
      </c>
      <c r="E5" s="810"/>
      <c r="F5" s="811"/>
      <c r="G5" s="128" t="s">
        <v>33</v>
      </c>
      <c r="K5" s="474"/>
    </row>
    <row r="6" spans="1:16" ht="18.600000000000001" customHeight="1">
      <c r="B6" s="238" t="s">
        <v>19</v>
      </c>
      <c r="C6" s="401" t="s">
        <v>20</v>
      </c>
      <c r="D6" s="238" t="s">
        <v>31</v>
      </c>
      <c r="E6" s="239" t="s">
        <v>20</v>
      </c>
      <c r="F6" s="401" t="s">
        <v>73</v>
      </c>
      <c r="G6" s="240" t="s">
        <v>21</v>
      </c>
      <c r="K6" s="602"/>
    </row>
    <row r="7" spans="1:16" ht="18.600000000000001" customHeight="1">
      <c r="A7" s="11"/>
      <c r="B7" s="309">
        <v>174.9</v>
      </c>
      <c r="C7" s="310">
        <v>0</v>
      </c>
      <c r="D7" s="674">
        <v>11</v>
      </c>
      <c r="E7" s="675">
        <v>39</v>
      </c>
      <c r="F7" s="676">
        <v>36.000000000000512</v>
      </c>
      <c r="G7" s="699">
        <v>3.0525808617380825</v>
      </c>
      <c r="K7" s="308"/>
    </row>
    <row r="8" spans="1:16" ht="18.600000000000001" customHeight="1">
      <c r="A8" s="11"/>
      <c r="B8" s="674">
        <v>73</v>
      </c>
      <c r="C8" s="678">
        <v>30.000000000000853</v>
      </c>
      <c r="D8" s="309">
        <v>4.9000000000000004</v>
      </c>
      <c r="E8" s="311">
        <v>0</v>
      </c>
      <c r="F8" s="603">
        <v>0</v>
      </c>
      <c r="G8" s="679">
        <v>1.2828170002158323</v>
      </c>
    </row>
    <row r="9" spans="1:16" ht="18.600000000000001" customHeight="1" thickBot="1">
      <c r="A9" s="11"/>
      <c r="B9" s="681">
        <v>55</v>
      </c>
      <c r="C9" s="685">
        <v>41.489861202960725</v>
      </c>
      <c r="D9" s="681">
        <v>3</v>
      </c>
      <c r="E9" s="682">
        <v>42</v>
      </c>
      <c r="F9" s="683">
        <v>45.959444811843326</v>
      </c>
      <c r="G9" s="328">
        <v>0.97199999999999998</v>
      </c>
      <c r="J9" s="308"/>
      <c r="N9" s="655"/>
      <c r="O9" s="655"/>
    </row>
    <row r="10" spans="1:16" ht="18.600000000000001" customHeight="1">
      <c r="A10" s="62"/>
      <c r="B10" s="295"/>
      <c r="C10" s="62"/>
      <c r="D10" s="62"/>
      <c r="E10" s="175"/>
      <c r="F10" s="296"/>
      <c r="N10" s="655"/>
      <c r="O10" s="655"/>
      <c r="P10" s="655"/>
    </row>
    <row r="11" spans="1:16" ht="18.600000000000001" customHeight="1" thickBot="1"/>
    <row r="12" spans="1:16" ht="18.600000000000001" customHeight="1" thickBot="1">
      <c r="A12" s="344" t="s">
        <v>297</v>
      </c>
      <c r="B12" s="701">
        <f>G7</f>
        <v>3.0525808617380825</v>
      </c>
      <c r="C12" s="297" t="s">
        <v>39</v>
      </c>
      <c r="D12" s="344" t="s">
        <v>297</v>
      </c>
      <c r="E12" s="702">
        <f>G8</f>
        <v>1.2828170002158323</v>
      </c>
      <c r="F12" s="297" t="s">
        <v>39</v>
      </c>
      <c r="G12" s="344" t="s">
        <v>297</v>
      </c>
      <c r="H12" s="703">
        <f>G9</f>
        <v>0.97199999999999998</v>
      </c>
      <c r="I12" s="297" t="s">
        <v>39</v>
      </c>
    </row>
    <row r="13" spans="1:16" ht="18.600000000000001" customHeight="1">
      <c r="A13" s="345" t="s">
        <v>34</v>
      </c>
      <c r="B13" s="687">
        <v>8.889429686644143E-2</v>
      </c>
      <c r="C13" s="688">
        <v>-2.8973632911374292E-5</v>
      </c>
      <c r="D13" s="345" t="s">
        <v>34</v>
      </c>
      <c r="E13" s="687">
        <v>0.95881973486819305</v>
      </c>
      <c r="F13" s="688">
        <v>2.0654159312335287E-6</v>
      </c>
      <c r="G13" s="345" t="s">
        <v>34</v>
      </c>
      <c r="H13" s="693">
        <v>0.82601466187616146</v>
      </c>
      <c r="I13" s="694">
        <v>5.6364863023483939E-4</v>
      </c>
    </row>
    <row r="14" spans="1:16" ht="18.600000000000001" customHeight="1">
      <c r="A14" s="346" t="s">
        <v>298</v>
      </c>
      <c r="B14" s="689">
        <v>-0.99604106541076953</v>
      </c>
      <c r="C14" s="690">
        <v>8.8894296866441434E-3</v>
      </c>
      <c r="D14" s="346" t="s">
        <v>298</v>
      </c>
      <c r="E14" s="689">
        <v>0.28401534470392253</v>
      </c>
      <c r="F14" s="690">
        <v>6.9727273279630077E-6</v>
      </c>
      <c r="G14" s="346" t="s">
        <v>298</v>
      </c>
      <c r="H14" s="695">
        <v>0.56364863023483935</v>
      </c>
      <c r="I14" s="696">
        <v>8.2601466187616143E-4</v>
      </c>
    </row>
    <row r="15" spans="1:16" ht="18.600000000000001" customHeight="1">
      <c r="A15" s="346" t="s">
        <v>299</v>
      </c>
      <c r="B15" s="689">
        <v>-8.9247622365631302E-2</v>
      </c>
      <c r="C15" s="690">
        <v>0.10079651380979185</v>
      </c>
      <c r="D15" s="346" t="s">
        <v>299</v>
      </c>
      <c r="E15" s="689">
        <v>3.3759434225912472</v>
      </c>
      <c r="F15" s="690">
        <v>9.0153399698473594E-5</v>
      </c>
      <c r="G15" s="346" t="s">
        <v>299</v>
      </c>
      <c r="H15" s="695">
        <v>1.4654779903075601</v>
      </c>
      <c r="I15" s="696">
        <v>3.1476257400758858E-3</v>
      </c>
    </row>
    <row r="16" spans="1:16" ht="18.600000000000001" customHeight="1">
      <c r="A16" s="346" t="s">
        <v>300</v>
      </c>
      <c r="B16" s="689">
        <v>-11.204780289867909</v>
      </c>
      <c r="C16" s="690">
        <v>12.654710134421238</v>
      </c>
      <c r="D16" s="346" t="s">
        <v>300</v>
      </c>
      <c r="E16" s="689">
        <v>0.29621349496208016</v>
      </c>
      <c r="F16" s="690">
        <v>7.9102787767991446E-6</v>
      </c>
      <c r="G16" s="346" t="s">
        <v>300</v>
      </c>
      <c r="H16" s="695">
        <v>0.68237121718227223</v>
      </c>
      <c r="I16" s="696">
        <v>1.4656304780388159E-3</v>
      </c>
    </row>
    <row r="17" spans="1:10" ht="18.600000000000001" customHeight="1">
      <c r="A17" s="346" t="s">
        <v>301</v>
      </c>
      <c r="B17" s="689">
        <v>-1.0039746700479641</v>
      </c>
      <c r="C17" s="690">
        <v>8.9602352217099997E-3</v>
      </c>
      <c r="D17" s="346" t="s">
        <v>301</v>
      </c>
      <c r="E17" s="689">
        <v>3.5209365220828825</v>
      </c>
      <c r="F17" s="690">
        <v>8.644085879635668E-5</v>
      </c>
      <c r="G17" s="346" t="s">
        <v>301</v>
      </c>
      <c r="H17" s="695">
        <v>1.7741549368856953</v>
      </c>
      <c r="I17" s="696">
        <v>2.5999850114014852E-3</v>
      </c>
    </row>
    <row r="18" spans="1:10" ht="18.600000000000001" customHeight="1">
      <c r="A18" s="346" t="s">
        <v>302</v>
      </c>
      <c r="B18" s="689">
        <v>11.249315594480066</v>
      </c>
      <c r="C18" s="690">
        <v>-12.604610964753393</v>
      </c>
      <c r="D18" s="346" t="s">
        <v>302</v>
      </c>
      <c r="E18" s="689">
        <v>1.0429489127458018</v>
      </c>
      <c r="F18" s="690">
        <v>2.2466405534967317E-6</v>
      </c>
      <c r="G18" s="346" t="s">
        <v>302</v>
      </c>
      <c r="H18" s="695">
        <v>1.2106322637526292</v>
      </c>
      <c r="I18" s="696">
        <v>8.2610061137701138E-4</v>
      </c>
    </row>
    <row r="19" spans="1:10" ht="18.600000000000001" customHeight="1" thickBot="1">
      <c r="A19" s="347" t="s">
        <v>76</v>
      </c>
      <c r="B19" s="691">
        <v>0.99802053270538482</v>
      </c>
      <c r="C19" s="692">
        <v>4.4447148433220717E-3</v>
      </c>
      <c r="D19" s="347" t="s">
        <v>76</v>
      </c>
      <c r="E19" s="691">
        <v>0.35799232764803873</v>
      </c>
      <c r="F19" s="692">
        <v>3.4863636639815039E-6</v>
      </c>
      <c r="G19" s="347" t="s">
        <v>76</v>
      </c>
      <c r="H19" s="697">
        <v>0.2181756848825803</v>
      </c>
      <c r="I19" s="698">
        <v>4.1300733093808072E-4</v>
      </c>
    </row>
    <row r="20" spans="1:10" ht="18.600000000000001" customHeight="1">
      <c r="A20" s="62"/>
      <c r="B20" s="295"/>
      <c r="C20" s="62"/>
      <c r="D20" s="62"/>
      <c r="E20" s="175"/>
      <c r="F20" s="296"/>
    </row>
    <row r="21" spans="1:10" ht="18.600000000000001" customHeight="1">
      <c r="A21" s="62"/>
      <c r="B21" s="295"/>
      <c r="C21" s="62"/>
      <c r="D21" s="62"/>
      <c r="E21" s="175"/>
      <c r="F21" s="296"/>
    </row>
    <row r="23" spans="1:10" ht="36" customHeight="1" thickBot="1">
      <c r="A23" s="813" t="s">
        <v>263</v>
      </c>
      <c r="B23" s="813"/>
      <c r="C23" s="813"/>
      <c r="D23" s="813"/>
      <c r="E23" s="813"/>
      <c r="F23" s="813"/>
      <c r="G23" s="813"/>
      <c r="H23" s="813"/>
      <c r="I23" s="813"/>
      <c r="J23" s="804"/>
    </row>
    <row r="24" spans="1:10" ht="18.600000000000001" customHeight="1">
      <c r="A24" s="814" t="s">
        <v>38</v>
      </c>
      <c r="B24" s="816" t="s">
        <v>231</v>
      </c>
      <c r="C24" s="704" t="s">
        <v>33</v>
      </c>
      <c r="D24" s="805" t="s">
        <v>32</v>
      </c>
      <c r="E24" s="806"/>
      <c r="F24" s="807"/>
      <c r="G24" s="808" t="s">
        <v>30</v>
      </c>
      <c r="H24" s="807"/>
      <c r="I24" s="704" t="s">
        <v>39</v>
      </c>
      <c r="J24" s="804"/>
    </row>
    <row r="25" spans="1:10" ht="18.600000000000001" customHeight="1">
      <c r="A25" s="815"/>
      <c r="B25" s="817"/>
      <c r="C25" s="705" t="s">
        <v>21</v>
      </c>
      <c r="D25" s="706" t="s">
        <v>31</v>
      </c>
      <c r="E25" s="707" t="s">
        <v>20</v>
      </c>
      <c r="F25" s="708" t="s">
        <v>73</v>
      </c>
      <c r="G25" s="709" t="s">
        <v>19</v>
      </c>
      <c r="H25" s="708" t="s">
        <v>20</v>
      </c>
      <c r="I25" s="710" t="s">
        <v>40</v>
      </c>
    </row>
    <row r="26" spans="1:10" ht="18.600000000000001" customHeight="1">
      <c r="A26" s="242" t="s">
        <v>34</v>
      </c>
      <c r="B26" s="312">
        <v>0.84</v>
      </c>
      <c r="C26" s="673">
        <v>0.99728322237179989</v>
      </c>
      <c r="D26" s="674">
        <v>3</v>
      </c>
      <c r="E26" s="675">
        <v>48</v>
      </c>
      <c r="F26" s="676">
        <v>33.628709066613851</v>
      </c>
      <c r="G26" s="677">
        <v>57</v>
      </c>
      <c r="H26" s="678">
        <v>8.4071772666534628</v>
      </c>
      <c r="I26" s="679">
        <v>63.358573096437198</v>
      </c>
    </row>
    <row r="27" spans="1:10" ht="18.600000000000001" customHeight="1">
      <c r="A27" s="242" t="s">
        <v>35</v>
      </c>
      <c r="B27" s="312">
        <v>0.3</v>
      </c>
      <c r="C27" s="673">
        <v>1.266103672779499</v>
      </c>
      <c r="D27" s="674">
        <v>4</v>
      </c>
      <c r="E27" s="675">
        <v>50</v>
      </c>
      <c r="F27" s="676">
        <v>10.175250306695602</v>
      </c>
      <c r="G27" s="677">
        <v>72</v>
      </c>
      <c r="H27" s="678">
        <v>32.543812576674327</v>
      </c>
      <c r="I27" s="679">
        <v>360.37411974407752</v>
      </c>
    </row>
    <row r="28" spans="1:10" ht="18.600000000000001" customHeight="1">
      <c r="A28" s="242" t="s">
        <v>75</v>
      </c>
      <c r="B28" s="312">
        <v>4.0789999999999997</v>
      </c>
      <c r="C28" s="673">
        <v>1.3303798865775067</v>
      </c>
      <c r="D28" s="674">
        <v>5</v>
      </c>
      <c r="E28" s="675">
        <v>4</v>
      </c>
      <c r="F28" s="676">
        <v>54.03663599623151</v>
      </c>
      <c r="G28" s="677">
        <v>76</v>
      </c>
      <c r="H28" s="678">
        <v>13.509158999057718</v>
      </c>
      <c r="I28" s="679">
        <v>0.19490322192558762</v>
      </c>
    </row>
    <row r="29" spans="1:10" ht="18.600000000000001" customHeight="1">
      <c r="A29" s="242" t="s">
        <v>36</v>
      </c>
      <c r="B29" s="312">
        <v>4.9446700000000003</v>
      </c>
      <c r="C29" s="673">
        <v>0.19954652054004979</v>
      </c>
      <c r="D29" s="674">
        <v>0</v>
      </c>
      <c r="E29" s="675">
        <v>45</v>
      </c>
      <c r="F29" s="676">
        <v>43.961626431706549</v>
      </c>
      <c r="G29" s="677">
        <v>11</v>
      </c>
      <c r="H29" s="678">
        <v>25.990406607926637</v>
      </c>
      <c r="I29" s="679">
        <v>1.3507985182123511E-3</v>
      </c>
    </row>
    <row r="30" spans="1:10" ht="18.600000000000001" customHeight="1">
      <c r="A30" s="242" t="s">
        <v>74</v>
      </c>
      <c r="B30" s="312">
        <v>6.8</v>
      </c>
      <c r="C30" s="673">
        <v>1.4232022211358639</v>
      </c>
      <c r="D30" s="674">
        <v>5</v>
      </c>
      <c r="E30" s="675">
        <v>26</v>
      </c>
      <c r="F30" s="676">
        <v>10.435359535077779</v>
      </c>
      <c r="G30" s="677">
        <v>81</v>
      </c>
      <c r="H30" s="678">
        <v>32.608839883769178</v>
      </c>
      <c r="I30" s="679">
        <v>7.5162995505254369</v>
      </c>
    </row>
    <row r="31" spans="1:10" ht="18.600000000000001" customHeight="1">
      <c r="A31" s="242" t="s">
        <v>37</v>
      </c>
      <c r="B31" s="312">
        <v>7.6767000000000003</v>
      </c>
      <c r="C31" s="673">
        <v>0.13063555274314675</v>
      </c>
      <c r="D31" s="674">
        <v>0</v>
      </c>
      <c r="E31" s="675">
        <v>29</v>
      </c>
      <c r="F31" s="676">
        <v>56.36779836983365</v>
      </c>
      <c r="G31" s="677">
        <v>7</v>
      </c>
      <c r="H31" s="678">
        <v>29.091949592458359</v>
      </c>
      <c r="I31" s="679">
        <v>5.8835777838523546E-3</v>
      </c>
    </row>
    <row r="32" spans="1:10" ht="18.600000000000001" customHeight="1" thickBot="1">
      <c r="A32" s="243" t="s">
        <v>76</v>
      </c>
      <c r="B32" s="313">
        <v>0.75426700000000002</v>
      </c>
      <c r="C32" s="680">
        <v>2.1042776709246862</v>
      </c>
      <c r="D32" s="681">
        <v>8</v>
      </c>
      <c r="E32" s="682">
        <v>2</v>
      </c>
      <c r="F32" s="683">
        <v>15.895072224771951</v>
      </c>
      <c r="G32" s="684">
        <v>120</v>
      </c>
      <c r="H32" s="685">
        <v>33.973768056193308</v>
      </c>
      <c r="I32" s="686">
        <v>7.9850933152449798E-3</v>
      </c>
    </row>
    <row r="37" spans="1:1" ht="15.75">
      <c r="A37" s="92"/>
    </row>
    <row r="38" spans="1:1" ht="15.75">
      <c r="A38" s="92"/>
    </row>
    <row r="39" spans="1:1">
      <c r="A39" s="89"/>
    </row>
    <row r="40" spans="1:1">
      <c r="A40" s="90"/>
    </row>
    <row r="41" spans="1:1">
      <c r="A41" s="91"/>
    </row>
    <row r="42" spans="1:1" s="644" customFormat="1">
      <c r="A42" s="656"/>
    </row>
    <row r="43" spans="1:1" s="644" customFormat="1">
      <c r="A43" s="657"/>
    </row>
    <row r="44" spans="1:1" s="644" customFormat="1"/>
    <row r="45" spans="1:1" s="644" customFormat="1"/>
    <row r="46" spans="1:1" s="644" customFormat="1"/>
    <row r="47" spans="1:1" s="644" customFormat="1"/>
    <row r="48" spans="1:1" s="644" customFormat="1"/>
    <row r="49" s="644" customFormat="1"/>
    <row r="50" s="644" customFormat="1"/>
    <row r="51" s="644" customFormat="1"/>
    <row r="52" s="644" customFormat="1"/>
    <row r="53" s="644" customFormat="1"/>
    <row r="54" s="644" customFormat="1"/>
    <row r="55" s="644" customFormat="1"/>
    <row r="56" s="644" customFormat="1"/>
    <row r="57" s="644" customFormat="1"/>
    <row r="58" s="644" customFormat="1"/>
    <row r="59" s="644" customFormat="1"/>
    <row r="60" s="644" customFormat="1"/>
    <row r="61" s="644" customFormat="1"/>
    <row r="62" s="644" customFormat="1"/>
    <row r="63" s="644" customFormat="1"/>
    <row r="64" s="644" customFormat="1"/>
    <row r="65" s="644" customFormat="1"/>
    <row r="66" s="644" customFormat="1"/>
    <row r="67" s="644" customFormat="1"/>
    <row r="68" s="644" customFormat="1"/>
    <row r="69" s="644" customFormat="1"/>
    <row r="70" s="644" customFormat="1"/>
    <row r="71" s="644" customFormat="1"/>
    <row r="72" s="644" customFormat="1"/>
    <row r="73" s="644" customFormat="1"/>
    <row r="74" s="644" customFormat="1"/>
    <row r="75" s="644" customFormat="1"/>
    <row r="76" s="644" customFormat="1"/>
  </sheetData>
  <mergeCells count="12">
    <mergeCell ref="A2:I2"/>
    <mergeCell ref="A1:F1"/>
    <mergeCell ref="J23:J24"/>
    <mergeCell ref="D24:F24"/>
    <mergeCell ref="G24:H24"/>
    <mergeCell ref="D5:F5"/>
    <mergeCell ref="A4:I4"/>
    <mergeCell ref="A23:I23"/>
    <mergeCell ref="A24:A25"/>
    <mergeCell ref="B24:B25"/>
    <mergeCell ref="B5:C5"/>
    <mergeCell ref="E3:F3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7C80-0B9C-4E66-BC7E-FAFF69AB08F3}">
  <dimension ref="A1:BK388"/>
  <sheetViews>
    <sheetView zoomScaleNormal="100" zoomScaleSheetLayoutView="96" workbookViewId="0">
      <selection activeCell="AE41" sqref="AE41"/>
    </sheetView>
  </sheetViews>
  <sheetFormatPr defaultRowHeight="15"/>
  <cols>
    <col min="1" max="1" width="4" customWidth="1"/>
    <col min="2" max="2" width="3" bestFit="1" customWidth="1"/>
    <col min="3" max="3" width="1.85546875" bestFit="1" customWidth="1"/>
    <col min="4" max="4" width="6.28515625" customWidth="1"/>
    <col min="5" max="5" width="2.28515625" bestFit="1" customWidth="1"/>
    <col min="6" max="6" width="2" customWidth="1"/>
    <col min="7" max="7" width="3" bestFit="1" customWidth="1"/>
    <col min="8" max="8" width="1.85546875" bestFit="1" customWidth="1"/>
    <col min="9" max="9" width="5" bestFit="1" customWidth="1"/>
    <col min="10" max="10" width="2.28515625" bestFit="1" customWidth="1"/>
    <col min="11" max="11" width="3" customWidth="1"/>
    <col min="12" max="12" width="1.85546875" bestFit="1" customWidth="1"/>
    <col min="13" max="13" width="6" bestFit="1" customWidth="1"/>
    <col min="14" max="14" width="2.28515625" bestFit="1" customWidth="1"/>
    <col min="15" max="15" width="11.28515625" customWidth="1"/>
    <col min="16" max="16" width="8.85546875" customWidth="1"/>
    <col min="18" max="18" width="8" bestFit="1" customWidth="1"/>
    <col min="19" max="19" width="7" bestFit="1" customWidth="1"/>
    <col min="20" max="20" width="6.28515625" bestFit="1" customWidth="1"/>
    <col min="21" max="21" width="7.140625" bestFit="1" customWidth="1"/>
    <col min="22" max="23" width="7.5703125" bestFit="1" customWidth="1"/>
    <col min="24" max="24" width="6.85546875" customWidth="1"/>
    <col min="25" max="25" width="6.28515625" bestFit="1" customWidth="1"/>
    <col min="26" max="27" width="5.5703125" bestFit="1" customWidth="1"/>
  </cols>
  <sheetData>
    <row r="1" spans="1:27">
      <c r="B1" s="3"/>
      <c r="C1" s="3"/>
      <c r="D1" s="3"/>
      <c r="E1" s="3"/>
      <c r="F1" s="3"/>
      <c r="P1" s="3" t="s">
        <v>227</v>
      </c>
      <c r="U1" s="3">
        <v>70</v>
      </c>
    </row>
    <row r="2" spans="1:27">
      <c r="B2" s="3"/>
      <c r="C2" s="3"/>
      <c r="D2" s="3"/>
      <c r="E2" s="3"/>
      <c r="F2" s="3"/>
      <c r="K2" s="3"/>
      <c r="P2" s="3" t="s">
        <v>183</v>
      </c>
    </row>
    <row r="3" spans="1:27">
      <c r="A3" s="3"/>
      <c r="B3" s="3"/>
      <c r="C3" s="3"/>
      <c r="D3" s="3"/>
      <c r="E3" s="3"/>
      <c r="F3" s="3"/>
      <c r="K3" s="3"/>
    </row>
    <row r="4" spans="1:27">
      <c r="A4" s="189" t="s">
        <v>242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 spans="1:27" ht="15.75" thickBot="1"/>
    <row r="6" spans="1:27" s="70" customFormat="1" ht="46.5" customHeight="1" thickBot="1">
      <c r="A6" s="18" t="s">
        <v>41</v>
      </c>
      <c r="B6" s="828" t="s">
        <v>42</v>
      </c>
      <c r="C6" s="829"/>
      <c r="D6" s="829"/>
      <c r="E6" s="829"/>
      <c r="F6" s="829"/>
      <c r="G6" s="829"/>
      <c r="H6" s="829"/>
      <c r="I6" s="829"/>
      <c r="J6" s="829"/>
      <c r="K6" s="829"/>
      <c r="L6" s="829"/>
      <c r="M6" s="829"/>
      <c r="N6" s="830"/>
      <c r="O6" s="19" t="s">
        <v>45</v>
      </c>
      <c r="P6" s="19" t="s">
        <v>46</v>
      </c>
      <c r="Q6" s="19" t="s">
        <v>47</v>
      </c>
      <c r="R6" s="831"/>
      <c r="S6" s="832"/>
      <c r="T6" s="832"/>
      <c r="U6" s="832"/>
      <c r="V6" s="832"/>
      <c r="W6" s="832"/>
      <c r="X6" s="832"/>
      <c r="Y6" s="832"/>
      <c r="Z6" s="832"/>
      <c r="AA6" s="833"/>
    </row>
    <row r="7" spans="1:27" s="70" customFormat="1" ht="37.5" customHeight="1" thickBot="1">
      <c r="A7" s="20"/>
      <c r="B7" s="825" t="s">
        <v>43</v>
      </c>
      <c r="C7" s="826"/>
      <c r="D7" s="826"/>
      <c r="E7" s="826"/>
      <c r="F7" s="826"/>
      <c r="G7" s="826"/>
      <c r="H7" s="826"/>
      <c r="I7" s="826"/>
      <c r="J7" s="827"/>
      <c r="K7" s="822" t="s">
        <v>44</v>
      </c>
      <c r="L7" s="823"/>
      <c r="M7" s="823"/>
      <c r="N7" s="824"/>
      <c r="O7" s="615" t="s">
        <v>229</v>
      </c>
      <c r="P7" s="21" t="s">
        <v>240</v>
      </c>
      <c r="Q7" s="616" t="s">
        <v>241</v>
      </c>
      <c r="R7" s="22" t="s">
        <v>239</v>
      </c>
      <c r="S7" s="22" t="s">
        <v>77</v>
      </c>
      <c r="T7" s="22" t="s">
        <v>52</v>
      </c>
      <c r="U7" s="22" t="s">
        <v>53</v>
      </c>
      <c r="V7" s="22" t="s">
        <v>190</v>
      </c>
      <c r="W7" s="22" t="s">
        <v>191</v>
      </c>
      <c r="X7" s="22" t="s">
        <v>192</v>
      </c>
      <c r="Y7" s="23" t="s">
        <v>57</v>
      </c>
      <c r="Z7" s="635" t="s">
        <v>54</v>
      </c>
      <c r="AA7" s="636" t="s">
        <v>400</v>
      </c>
    </row>
    <row r="8" spans="1:27" s="70" customFormat="1" ht="18.75" customHeight="1">
      <c r="A8" s="617">
        <v>1</v>
      </c>
      <c r="B8" s="314">
        <v>49</v>
      </c>
      <c r="C8" s="711" t="s">
        <v>49</v>
      </c>
      <c r="D8" s="404">
        <v>50</v>
      </c>
      <c r="E8" s="712" t="s">
        <v>50</v>
      </c>
      <c r="F8" s="713" t="s">
        <v>48</v>
      </c>
      <c r="G8" s="713">
        <v>49</v>
      </c>
      <c r="H8" s="711" t="s">
        <v>49</v>
      </c>
      <c r="I8" s="713">
        <v>50.1</v>
      </c>
      <c r="J8" s="714" t="s">
        <v>50</v>
      </c>
      <c r="K8" s="253">
        <v>49</v>
      </c>
      <c r="L8" s="251" t="s">
        <v>49</v>
      </c>
      <c r="M8" s="95">
        <v>50.05</v>
      </c>
      <c r="N8" s="252" t="s">
        <v>50</v>
      </c>
      <c r="O8" s="315">
        <v>17</v>
      </c>
      <c r="P8" s="142">
        <v>4.5945945945945948E-2</v>
      </c>
      <c r="Q8" s="142">
        <v>4.5945945945945948E-2</v>
      </c>
      <c r="R8" s="142">
        <v>4.9999999999997158E-2</v>
      </c>
      <c r="S8" s="139">
        <v>2.2972972972971667E-3</v>
      </c>
      <c r="T8" s="139">
        <v>-0.40270270270271169</v>
      </c>
      <c r="U8" s="139">
        <v>-1.8502556610665133E-2</v>
      </c>
      <c r="V8" s="139">
        <v>7.4510295540247736E-3</v>
      </c>
      <c r="W8" s="139">
        <v>-3.0005497393235567E-3</v>
      </c>
      <c r="X8" s="139">
        <v>1.2083294896195133E-3</v>
      </c>
      <c r="Y8" s="634">
        <v>-1.9896400843380155</v>
      </c>
      <c r="Z8" s="254">
        <v>5.5264498071333545E-2</v>
      </c>
      <c r="AA8" s="633">
        <v>0.2730462444517528</v>
      </c>
    </row>
    <row r="9" spans="1:27" s="70" customFormat="1" ht="18.75" customHeight="1">
      <c r="A9" s="255">
        <v>2</v>
      </c>
      <c r="B9" s="715">
        <v>49</v>
      </c>
      <c r="C9" s="716" t="s">
        <v>49</v>
      </c>
      <c r="D9" s="717">
        <v>50.1</v>
      </c>
      <c r="E9" s="718" t="s">
        <v>50</v>
      </c>
      <c r="F9" s="717" t="s">
        <v>48</v>
      </c>
      <c r="G9" s="717">
        <v>49</v>
      </c>
      <c r="H9" s="716" t="s">
        <v>49</v>
      </c>
      <c r="I9" s="717">
        <v>50.2</v>
      </c>
      <c r="J9" s="719" t="s">
        <v>50</v>
      </c>
      <c r="K9" s="256">
        <v>49</v>
      </c>
      <c r="L9" s="619" t="s">
        <v>49</v>
      </c>
      <c r="M9" s="232">
        <v>50.150000000000006</v>
      </c>
      <c r="N9" s="257" t="s">
        <v>50</v>
      </c>
      <c r="O9" s="316">
        <v>26</v>
      </c>
      <c r="P9" s="235">
        <v>7.0270270270270274E-2</v>
      </c>
      <c r="Q9" s="235">
        <v>0.11621621621621622</v>
      </c>
      <c r="R9" s="235">
        <v>0.15000000000000568</v>
      </c>
      <c r="S9" s="145">
        <v>1.0540540540540941E-2</v>
      </c>
      <c r="T9" s="145">
        <v>-0.30270270270270316</v>
      </c>
      <c r="U9" s="145">
        <v>-2.1271000730460222E-2</v>
      </c>
      <c r="V9" s="145">
        <v>6.4387894103014832E-3</v>
      </c>
      <c r="W9" s="145">
        <v>-1.9490389566318032E-3</v>
      </c>
      <c r="X9" s="145">
        <v>5.8997935984530354E-4</v>
      </c>
      <c r="Y9" s="441">
        <v>-1.4955683855426383</v>
      </c>
      <c r="Z9" s="258">
        <v>0.13072581953282084</v>
      </c>
      <c r="AA9" s="632">
        <v>0.64587927732993178</v>
      </c>
    </row>
    <row r="10" spans="1:27" s="70" customFormat="1" ht="18.75" customHeight="1">
      <c r="A10" s="255">
        <v>3</v>
      </c>
      <c r="B10" s="715">
        <v>49</v>
      </c>
      <c r="C10" s="716" t="s">
        <v>49</v>
      </c>
      <c r="D10" s="717">
        <v>50.2</v>
      </c>
      <c r="E10" s="718" t="s">
        <v>50</v>
      </c>
      <c r="F10" s="717" t="s">
        <v>48</v>
      </c>
      <c r="G10" s="717">
        <v>49</v>
      </c>
      <c r="H10" s="716" t="s">
        <v>49</v>
      </c>
      <c r="I10" s="717">
        <v>50.300000000000004</v>
      </c>
      <c r="J10" s="719" t="s">
        <v>50</v>
      </c>
      <c r="K10" s="256">
        <v>49</v>
      </c>
      <c r="L10" s="619" t="s">
        <v>49</v>
      </c>
      <c r="M10" s="232">
        <v>50.25</v>
      </c>
      <c r="N10" s="257" t="s">
        <v>50</v>
      </c>
      <c r="O10" s="316">
        <v>44</v>
      </c>
      <c r="P10" s="235">
        <v>0.11891891891891893</v>
      </c>
      <c r="Q10" s="235">
        <v>0.23513513513513515</v>
      </c>
      <c r="R10" s="235">
        <v>0.25</v>
      </c>
      <c r="S10" s="145">
        <v>2.9729729729729731E-2</v>
      </c>
      <c r="T10" s="145">
        <v>-0.20270270270270885</v>
      </c>
      <c r="U10" s="145">
        <v>-2.4105186267349161E-2</v>
      </c>
      <c r="V10" s="145">
        <v>4.8861864055438969E-3</v>
      </c>
      <c r="W10" s="145">
        <v>-9.9044319031298188E-4</v>
      </c>
      <c r="X10" s="145">
        <v>2.0076551154993486E-4</v>
      </c>
      <c r="Y10" s="441">
        <v>-1.0014966867473314</v>
      </c>
      <c r="Z10" s="258">
        <v>0.2422491495959892</v>
      </c>
      <c r="AA10" s="632">
        <v>1.1968844887261565</v>
      </c>
    </row>
    <row r="11" spans="1:27" s="70" customFormat="1" ht="18.75" customHeight="1">
      <c r="A11" s="255">
        <v>4</v>
      </c>
      <c r="B11" s="715">
        <v>49</v>
      </c>
      <c r="C11" s="716" t="s">
        <v>49</v>
      </c>
      <c r="D11" s="717">
        <v>50.300000000000004</v>
      </c>
      <c r="E11" s="718" t="s">
        <v>50</v>
      </c>
      <c r="F11" s="717" t="s">
        <v>48</v>
      </c>
      <c r="G11" s="717">
        <v>49</v>
      </c>
      <c r="H11" s="716" t="s">
        <v>49</v>
      </c>
      <c r="I11" s="717">
        <v>50.400000000000006</v>
      </c>
      <c r="J11" s="719" t="s">
        <v>50</v>
      </c>
      <c r="K11" s="256">
        <v>49</v>
      </c>
      <c r="L11" s="619" t="s">
        <v>49</v>
      </c>
      <c r="M11" s="232">
        <v>50.350000000000009</v>
      </c>
      <c r="N11" s="257" t="s">
        <v>50</v>
      </c>
      <c r="O11" s="316">
        <v>61</v>
      </c>
      <c r="P11" s="235">
        <v>0.16486486486486487</v>
      </c>
      <c r="Q11" s="235">
        <v>0.4</v>
      </c>
      <c r="R11" s="235">
        <v>0.35000000000000853</v>
      </c>
      <c r="S11" s="145">
        <v>5.7702702702704112E-2</v>
      </c>
      <c r="T11" s="145">
        <v>-0.10270270270270032</v>
      </c>
      <c r="U11" s="145">
        <v>-1.693206720233708E-2</v>
      </c>
      <c r="V11" s="145">
        <v>1.738969064023768E-3</v>
      </c>
      <c r="W11" s="145">
        <v>-1.7859682279162609E-4</v>
      </c>
      <c r="X11" s="145">
        <v>1.8342376394815226E-5</v>
      </c>
      <c r="Y11" s="441">
        <v>-0.50742498795195401</v>
      </c>
      <c r="Z11" s="258">
        <v>0.35168099057623731</v>
      </c>
      <c r="AA11" s="632">
        <v>1.7375562444802779</v>
      </c>
    </row>
    <row r="12" spans="1:27" s="70" customFormat="1" ht="18.75" customHeight="1">
      <c r="A12" s="255">
        <v>5</v>
      </c>
      <c r="B12" s="715">
        <v>49</v>
      </c>
      <c r="C12" s="716" t="s">
        <v>49</v>
      </c>
      <c r="D12" s="717">
        <v>50.400000000000006</v>
      </c>
      <c r="E12" s="718" t="s">
        <v>50</v>
      </c>
      <c r="F12" s="717" t="s">
        <v>48</v>
      </c>
      <c r="G12" s="717">
        <v>49</v>
      </c>
      <c r="H12" s="716" t="s">
        <v>49</v>
      </c>
      <c r="I12" s="717">
        <v>50.500000000000007</v>
      </c>
      <c r="J12" s="719" t="s">
        <v>50</v>
      </c>
      <c r="K12" s="256">
        <v>49</v>
      </c>
      <c r="L12" s="619" t="s">
        <v>49</v>
      </c>
      <c r="M12" s="232">
        <v>50.45</v>
      </c>
      <c r="N12" s="257" t="s">
        <v>50</v>
      </c>
      <c r="O12" s="316">
        <v>70</v>
      </c>
      <c r="P12" s="235">
        <v>0.1891891891891892</v>
      </c>
      <c r="Q12" s="235">
        <v>0.58918918918918917</v>
      </c>
      <c r="R12" s="235">
        <v>0.45000000000000284</v>
      </c>
      <c r="S12" s="145">
        <v>8.5135135135135681E-2</v>
      </c>
      <c r="T12" s="145">
        <v>-2.7027027027060058E-3</v>
      </c>
      <c r="U12" s="145">
        <v>-5.113221329443795E-4</v>
      </c>
      <c r="V12" s="145">
        <v>1.381951710662174E-6</v>
      </c>
      <c r="W12" s="145">
        <v>-3.735004623415846E-9</v>
      </c>
      <c r="X12" s="145">
        <v>1.0094607090325434E-11</v>
      </c>
      <c r="Y12" s="441">
        <v>-1.3353289156646998E-2</v>
      </c>
      <c r="Z12" s="258">
        <v>0.39996433952342131</v>
      </c>
      <c r="AA12" s="632">
        <v>1.9761106068589094</v>
      </c>
    </row>
    <row r="13" spans="1:27" s="70" customFormat="1" ht="18.75" customHeight="1">
      <c r="A13" s="255">
        <v>6</v>
      </c>
      <c r="B13" s="715">
        <v>49</v>
      </c>
      <c r="C13" s="716" t="s">
        <v>49</v>
      </c>
      <c r="D13" s="717">
        <v>50.500000000000007</v>
      </c>
      <c r="E13" s="718" t="s">
        <v>50</v>
      </c>
      <c r="F13" s="717" t="s">
        <v>48</v>
      </c>
      <c r="G13" s="717">
        <v>49</v>
      </c>
      <c r="H13" s="716" t="s">
        <v>49</v>
      </c>
      <c r="I13" s="717">
        <v>50.600000000000009</v>
      </c>
      <c r="J13" s="719" t="s">
        <v>50</v>
      </c>
      <c r="K13" s="256">
        <v>49</v>
      </c>
      <c r="L13" s="619" t="s">
        <v>49</v>
      </c>
      <c r="M13" s="232">
        <v>50.550000000000011</v>
      </c>
      <c r="N13" s="257" t="s">
        <v>50</v>
      </c>
      <c r="O13" s="316">
        <v>62</v>
      </c>
      <c r="P13" s="235">
        <v>0.16756756756756758</v>
      </c>
      <c r="Q13" s="235">
        <v>0.7567567567567568</v>
      </c>
      <c r="R13" s="235">
        <v>0.55000000000001137</v>
      </c>
      <c r="S13" s="145">
        <v>9.2162162162164066E-2</v>
      </c>
      <c r="T13" s="145">
        <v>9.7297297297302521E-2</v>
      </c>
      <c r="U13" s="145">
        <v>1.6303871439007449E-2</v>
      </c>
      <c r="V13" s="145">
        <v>1.5863226264981071E-3</v>
      </c>
      <c r="W13" s="145">
        <v>1.5434490419982412E-4</v>
      </c>
      <c r="X13" s="145">
        <v>1.5017342030253963E-5</v>
      </c>
      <c r="Y13" s="441">
        <v>0.48071840963873025</v>
      </c>
      <c r="Z13" s="258">
        <v>0.35635215894492839</v>
      </c>
      <c r="AA13" s="632">
        <v>1.7606351653930605</v>
      </c>
    </row>
    <row r="14" spans="1:27" s="70" customFormat="1" ht="18.75" customHeight="1">
      <c r="A14" s="255">
        <v>7</v>
      </c>
      <c r="B14" s="715">
        <v>49</v>
      </c>
      <c r="C14" s="716" t="s">
        <v>49</v>
      </c>
      <c r="D14" s="717">
        <v>50.600000000000009</v>
      </c>
      <c r="E14" s="718" t="s">
        <v>50</v>
      </c>
      <c r="F14" s="717" t="s">
        <v>48</v>
      </c>
      <c r="G14" s="717">
        <v>49</v>
      </c>
      <c r="H14" s="716" t="s">
        <v>49</v>
      </c>
      <c r="I14" s="717">
        <v>50.70000000000001</v>
      </c>
      <c r="J14" s="719" t="s">
        <v>50</v>
      </c>
      <c r="K14" s="256">
        <v>49</v>
      </c>
      <c r="L14" s="619" t="s">
        <v>49</v>
      </c>
      <c r="M14" s="232">
        <v>50.650000000000006</v>
      </c>
      <c r="N14" s="257" t="s">
        <v>50</v>
      </c>
      <c r="O14" s="316">
        <v>45</v>
      </c>
      <c r="P14" s="235">
        <v>0.12162162162162163</v>
      </c>
      <c r="Q14" s="235">
        <v>0.8783783783783784</v>
      </c>
      <c r="R14" s="235">
        <v>0.65000000000000568</v>
      </c>
      <c r="S14" s="145">
        <v>7.9054054054054745E-2</v>
      </c>
      <c r="T14" s="145">
        <v>0.19729729729729684</v>
      </c>
      <c r="U14" s="145">
        <v>2.3995617238860428E-2</v>
      </c>
      <c r="V14" s="145">
        <v>4.7342704282075871E-3</v>
      </c>
      <c r="W14" s="145">
        <v>9.3405876015987307E-4</v>
      </c>
      <c r="X14" s="145">
        <v>1.8428726889640698E-4</v>
      </c>
      <c r="Y14" s="441">
        <v>0.97479010843403724</v>
      </c>
      <c r="Z14" s="258">
        <v>0.24872718900904225</v>
      </c>
      <c r="AA14" s="632">
        <v>1.2288906481028592</v>
      </c>
    </row>
    <row r="15" spans="1:27" s="70" customFormat="1" ht="18.75" customHeight="1">
      <c r="A15" s="255">
        <v>8</v>
      </c>
      <c r="B15" s="715">
        <v>49</v>
      </c>
      <c r="C15" s="716" t="s">
        <v>49</v>
      </c>
      <c r="D15" s="717">
        <v>50.70000000000001</v>
      </c>
      <c r="E15" s="718" t="s">
        <v>50</v>
      </c>
      <c r="F15" s="717" t="s">
        <v>48</v>
      </c>
      <c r="G15" s="717">
        <v>49</v>
      </c>
      <c r="H15" s="716" t="s">
        <v>49</v>
      </c>
      <c r="I15" s="717">
        <v>50.800000000000011</v>
      </c>
      <c r="J15" s="719" t="s">
        <v>50</v>
      </c>
      <c r="K15" s="256">
        <v>49</v>
      </c>
      <c r="L15" s="619" t="s">
        <v>49</v>
      </c>
      <c r="M15" s="232">
        <v>50.750000000000014</v>
      </c>
      <c r="N15" s="257" t="s">
        <v>50</v>
      </c>
      <c r="O15" s="316">
        <v>27</v>
      </c>
      <c r="P15" s="235">
        <v>7.2972972972972977E-2</v>
      </c>
      <c r="Q15" s="235">
        <v>0.9513513513513514</v>
      </c>
      <c r="R15" s="235">
        <v>0.75000000000001421</v>
      </c>
      <c r="S15" s="145">
        <v>5.4729729729730767E-2</v>
      </c>
      <c r="T15" s="145">
        <v>0.29729729729730536</v>
      </c>
      <c r="U15" s="145">
        <v>2.1694667640614177E-2</v>
      </c>
      <c r="V15" s="145">
        <v>6.4497660553179039E-3</v>
      </c>
      <c r="W15" s="145">
        <v>1.9174980164459153E-3</v>
      </c>
      <c r="X15" s="145">
        <v>5.700669778623146E-4</v>
      </c>
      <c r="Y15" s="441">
        <v>1.4688618072294146</v>
      </c>
      <c r="Z15" s="258">
        <v>0.13600437342276636</v>
      </c>
      <c r="AA15" s="632">
        <v>0.67195911820581311</v>
      </c>
    </row>
    <row r="16" spans="1:27" s="70" customFormat="1" ht="18.75" customHeight="1" thickBot="1">
      <c r="A16" s="255">
        <v>9</v>
      </c>
      <c r="B16" s="715">
        <v>49</v>
      </c>
      <c r="C16" s="720" t="s">
        <v>49</v>
      </c>
      <c r="D16" s="721">
        <v>50.800000000000011</v>
      </c>
      <c r="E16" s="722" t="s">
        <v>50</v>
      </c>
      <c r="F16" s="721" t="s">
        <v>48</v>
      </c>
      <c r="G16" s="721">
        <v>49</v>
      </c>
      <c r="H16" s="720" t="s">
        <v>49</v>
      </c>
      <c r="I16" s="721">
        <v>50.900000000000013</v>
      </c>
      <c r="J16" s="723" t="s">
        <v>50</v>
      </c>
      <c r="K16" s="261">
        <v>49</v>
      </c>
      <c r="L16" s="259" t="s">
        <v>49</v>
      </c>
      <c r="M16" s="98">
        <v>50.850000000000009</v>
      </c>
      <c r="N16" s="260" t="s">
        <v>50</v>
      </c>
      <c r="O16" s="316">
        <v>18</v>
      </c>
      <c r="P16" s="235">
        <v>4.8648648648648651E-2</v>
      </c>
      <c r="Q16" s="235">
        <v>1</v>
      </c>
      <c r="R16" s="235">
        <v>0.85000000000000853</v>
      </c>
      <c r="S16" s="145">
        <v>4.1351351351351769E-2</v>
      </c>
      <c r="T16" s="145">
        <v>0.39729729729729968</v>
      </c>
      <c r="U16" s="145">
        <v>1.9327976625274041E-2</v>
      </c>
      <c r="V16" s="145">
        <v>7.6789528754467595E-3</v>
      </c>
      <c r="W16" s="145">
        <v>3.0508272234883249E-3</v>
      </c>
      <c r="X16" s="145">
        <v>1.2120854104129366E-3</v>
      </c>
      <c r="Y16" s="441">
        <v>1.9629335060247215</v>
      </c>
      <c r="Z16" s="258">
        <v>5.8259698274539133E-2</v>
      </c>
      <c r="AA16" s="632">
        <v>0.28784468097805199</v>
      </c>
    </row>
    <row r="17" spans="1:27" s="70" customFormat="1" ht="18.75" customHeight="1" thickBot="1">
      <c r="A17" s="262" t="s">
        <v>6</v>
      </c>
      <c r="B17" s="263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664" t="s">
        <v>104</v>
      </c>
      <c r="N17" s="665" t="s">
        <v>128</v>
      </c>
      <c r="O17" s="157">
        <v>370</v>
      </c>
      <c r="P17" s="58">
        <v>1</v>
      </c>
      <c r="Q17" s="58"/>
      <c r="R17" s="58">
        <v>4.050000000000054</v>
      </c>
      <c r="S17" s="155">
        <v>0.45270270270270896</v>
      </c>
      <c r="T17" s="155">
        <v>-2.432432432432563E-2</v>
      </c>
      <c r="U17" s="155">
        <v>1.1796119636642288E-16</v>
      </c>
      <c r="V17" s="155">
        <v>4.0965668371074945E-2</v>
      </c>
      <c r="W17" s="155">
        <v>-6.1903539770653826E-5</v>
      </c>
      <c r="X17" s="155">
        <v>3.9988737467060859E-3</v>
      </c>
      <c r="Y17" s="265"/>
      <c r="Z17" s="265"/>
      <c r="AA17" s="631"/>
    </row>
    <row r="18" spans="1:27" s="70" customFormat="1" ht="18.75" customHeight="1" thickBot="1">
      <c r="A18" s="70" t="s">
        <v>447</v>
      </c>
    </row>
    <row r="19" spans="1:27" s="70" customFormat="1" ht="18.75" customHeight="1" thickBot="1">
      <c r="A19" s="267" t="s">
        <v>51</v>
      </c>
      <c r="B19" s="268">
        <v>49</v>
      </c>
      <c r="C19" s="269" t="s">
        <v>49</v>
      </c>
      <c r="D19" s="630">
        <v>50.452702702702709</v>
      </c>
      <c r="E19" s="270" t="s">
        <v>50</v>
      </c>
      <c r="F19" s="62"/>
      <c r="G19" s="62"/>
      <c r="H19" s="62"/>
      <c r="I19" s="62"/>
      <c r="J19" s="62"/>
      <c r="K19" s="62"/>
      <c r="L19" s="62"/>
      <c r="M19" s="62" t="s">
        <v>448</v>
      </c>
      <c r="N19" s="629"/>
      <c r="O19" s="614" t="s">
        <v>55</v>
      </c>
      <c r="P19" s="298">
        <v>0.20239977364383327</v>
      </c>
      <c r="Q19" s="62"/>
    </row>
    <row r="20" spans="1:27" s="70" customFormat="1" ht="18.75" customHeight="1" thickBo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174"/>
      <c r="P20" s="147"/>
      <c r="Q20" s="62"/>
    </row>
    <row r="21" spans="1:27" s="70" customFormat="1" ht="18.75" customHeight="1" thickBo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 t="s">
        <v>449</v>
      </c>
      <c r="N21" s="62"/>
      <c r="O21" s="614" t="s">
        <v>56</v>
      </c>
      <c r="P21" s="271">
        <v>1.0522263189282375E-2</v>
      </c>
      <c r="Q21" s="62"/>
    </row>
    <row r="22" spans="1:27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58" spans="1:63" ht="29.25" customHeight="1"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</row>
    <row r="59" spans="1:63">
      <c r="A59" s="3" t="s">
        <v>184</v>
      </c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</row>
    <row r="60" spans="1:63" ht="15.75" thickBo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</row>
    <row r="61" spans="1:63" ht="18.75" customHeight="1">
      <c r="A61" s="244" t="s">
        <v>186</v>
      </c>
      <c r="B61" s="713">
        <v>49</v>
      </c>
      <c r="C61" s="713" t="s">
        <v>49</v>
      </c>
      <c r="D61" s="404">
        <v>50.3</v>
      </c>
      <c r="E61" s="725" t="s">
        <v>50</v>
      </c>
      <c r="F61" s="62"/>
      <c r="G61" s="62"/>
      <c r="H61" s="62"/>
      <c r="I61" s="62"/>
      <c r="J61" s="62"/>
      <c r="K61" s="62"/>
      <c r="L61" s="62"/>
      <c r="M61" s="62"/>
      <c r="N61" s="62"/>
      <c r="O61" s="613" t="s">
        <v>401</v>
      </c>
      <c r="P61" s="245">
        <v>-0.75446083734967773</v>
      </c>
      <c r="Q61" s="62"/>
      <c r="R61" s="613" t="s">
        <v>188</v>
      </c>
      <c r="S61" s="628">
        <v>0.54674999999999996</v>
      </c>
      <c r="T61" s="62"/>
      <c r="U61" s="62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</row>
    <row r="62" spans="1:63" ht="18.75" customHeight="1" thickBot="1">
      <c r="A62" s="246" t="s">
        <v>187</v>
      </c>
      <c r="B62" s="724">
        <v>49</v>
      </c>
      <c r="C62" s="724" t="s">
        <v>49</v>
      </c>
      <c r="D62" s="405">
        <v>50.8</v>
      </c>
      <c r="E62" s="726" t="s">
        <v>50</v>
      </c>
      <c r="F62" s="62"/>
      <c r="G62" s="62"/>
      <c r="H62" s="62"/>
      <c r="I62" s="62"/>
      <c r="J62" s="62"/>
      <c r="K62" s="62"/>
      <c r="L62" s="62"/>
      <c r="M62" s="62"/>
      <c r="N62" s="62"/>
      <c r="O62" s="66" t="s">
        <v>402</v>
      </c>
      <c r="P62" s="247">
        <v>1.7158976566269979</v>
      </c>
      <c r="Q62" s="62"/>
      <c r="R62" s="66" t="s">
        <v>189</v>
      </c>
      <c r="S62" s="266">
        <v>0.91456999999999999</v>
      </c>
      <c r="T62" s="62"/>
      <c r="U62" s="62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</row>
    <row r="63" spans="1:63" ht="18.75" customHeight="1" thickBo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</row>
    <row r="64" spans="1:63" ht="18.75" customHeight="1" thickBo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263" t="s">
        <v>185</v>
      </c>
      <c r="P64" s="627">
        <v>0.73065999999999998</v>
      </c>
      <c r="Q64" s="62" t="s">
        <v>128</v>
      </c>
      <c r="R64" s="626">
        <v>73.066000000000003</v>
      </c>
      <c r="S64" s="625" t="s">
        <v>66</v>
      </c>
      <c r="T64" s="70"/>
      <c r="U64" s="70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</row>
    <row r="65" spans="1:63" ht="18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</row>
    <row r="66" spans="1:63">
      <c r="A66" s="189" t="s">
        <v>415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0"/>
      <c r="Q66" s="650"/>
      <c r="R66" s="650"/>
      <c r="S66" s="650"/>
      <c r="T66" s="650"/>
      <c r="U66" s="650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</row>
    <row r="67" spans="1:63" ht="18.75" customHeight="1" thickBo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</row>
    <row r="68" spans="1:63" ht="18.600000000000001" customHeight="1" thickBot="1">
      <c r="A68" s="248" t="s">
        <v>58</v>
      </c>
      <c r="B68" s="819">
        <v>75.080051799712237</v>
      </c>
      <c r="C68" s="820"/>
      <c r="D68" s="821"/>
      <c r="E68" s="62" t="s">
        <v>66</v>
      </c>
      <c r="F68" s="62"/>
      <c r="G68" s="62"/>
      <c r="H68" s="62"/>
      <c r="I68" s="62"/>
      <c r="J68" s="62"/>
      <c r="K68" s="62"/>
      <c r="L68" s="62"/>
      <c r="M68" s="62"/>
      <c r="N68" s="62"/>
      <c r="O68" s="70"/>
      <c r="P68" s="70"/>
      <c r="Q68" s="62"/>
      <c r="R68" s="62"/>
      <c r="S68" s="62"/>
      <c r="T68" s="62"/>
      <c r="U68" s="62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</row>
    <row r="69" spans="1:63" ht="18.75" customHeight="1" thickBo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</row>
    <row r="70" spans="1:63" ht="18.75" customHeight="1" thickBot="1">
      <c r="A70" s="613" t="s">
        <v>186</v>
      </c>
      <c r="B70" s="249">
        <v>49</v>
      </c>
      <c r="C70" s="249" t="s">
        <v>49</v>
      </c>
      <c r="D70" s="624">
        <v>50.219942963012301</v>
      </c>
      <c r="E70" s="623" t="s">
        <v>50</v>
      </c>
      <c r="F70" s="62"/>
      <c r="G70" s="62"/>
      <c r="H70" s="62"/>
      <c r="I70" s="62"/>
      <c r="J70" s="62"/>
      <c r="K70" s="62"/>
      <c r="L70" s="62"/>
      <c r="M70" s="62"/>
      <c r="N70" s="62"/>
      <c r="O70" s="250" t="s">
        <v>57</v>
      </c>
      <c r="P70" s="621">
        <v>1.1499999999999999</v>
      </c>
      <c r="Q70" s="62"/>
      <c r="R70" s="62"/>
      <c r="S70" s="62"/>
      <c r="T70" s="62"/>
      <c r="U70" s="62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</row>
    <row r="71" spans="1:63" ht="18.75" customHeight="1" thickBot="1">
      <c r="A71" s="431" t="s">
        <v>187</v>
      </c>
      <c r="B71" s="150">
        <v>49</v>
      </c>
      <c r="C71" s="150" t="s">
        <v>49</v>
      </c>
      <c r="D71" s="154">
        <v>50.685462442393117</v>
      </c>
      <c r="E71" s="622" t="s">
        <v>50</v>
      </c>
      <c r="F71" s="62"/>
      <c r="G71" s="62"/>
      <c r="H71" s="62"/>
      <c r="I71" s="62"/>
      <c r="J71" s="62"/>
      <c r="K71" s="62"/>
      <c r="L71" s="62"/>
      <c r="M71" s="62"/>
      <c r="N71" s="62"/>
      <c r="O71" s="250" t="s">
        <v>59</v>
      </c>
      <c r="P71" s="621">
        <v>0.23275973969040825</v>
      </c>
      <c r="Q71" s="62"/>
      <c r="R71" s="62"/>
      <c r="S71" s="62"/>
      <c r="T71" s="62"/>
      <c r="U71" s="62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</row>
    <row r="72" spans="1:63" ht="18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</row>
    <row r="73" spans="1:63"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</row>
    <row r="74" spans="1:63"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</row>
    <row r="75" spans="1:63"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</row>
    <row r="76" spans="1:63"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</row>
    <row r="77" spans="1:63"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</row>
    <row r="78" spans="1:63"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</row>
    <row r="79" spans="1:63"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</row>
    <row r="80" spans="1:63"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</row>
    <row r="81" spans="35:63"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</row>
    <row r="82" spans="35:63"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</row>
    <row r="83" spans="35:63"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</row>
    <row r="84" spans="35:63"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</row>
    <row r="85" spans="35:63"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</row>
    <row r="86" spans="35:63"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</row>
    <row r="87" spans="35:63"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</row>
    <row r="88" spans="35:63"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</row>
    <row r="89" spans="35:63"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</row>
    <row r="90" spans="35:63"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</row>
    <row r="91" spans="35:63"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</row>
    <row r="92" spans="35:63"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</row>
    <row r="93" spans="35:63"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</row>
    <row r="94" spans="35:63"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</row>
    <row r="95" spans="35:63"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</row>
    <row r="96" spans="35:63"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</row>
    <row r="97" spans="35:63"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</row>
    <row r="98" spans="35:63"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</row>
    <row r="99" spans="35:63"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</row>
    <row r="100" spans="35:63"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</row>
    <row r="101" spans="35:63"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</row>
    <row r="102" spans="35:63"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</row>
    <row r="103" spans="35:63"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</row>
    <row r="104" spans="35:63"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</row>
    <row r="105" spans="35:63"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</row>
    <row r="106" spans="35:63"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</row>
    <row r="107" spans="35:63"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</row>
    <row r="108" spans="35:63"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</row>
    <row r="109" spans="35:63"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</row>
    <row r="110" spans="35:63"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</row>
    <row r="111" spans="35:63"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</row>
    <row r="112" spans="35:63"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</row>
    <row r="113" spans="35:63"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</row>
    <row r="114" spans="35:63"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</row>
    <row r="115" spans="35:63"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</row>
    <row r="116" spans="35:63"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</row>
    <row r="117" spans="35:63"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</row>
    <row r="118" spans="35:63"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</row>
    <row r="119" spans="35:63"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</row>
    <row r="120" spans="35:63"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</row>
    <row r="121" spans="35:63"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</row>
    <row r="122" spans="35:63"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</row>
    <row r="123" spans="35:63"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</row>
    <row r="124" spans="35:63"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</row>
    <row r="125" spans="35:63"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</row>
    <row r="126" spans="35:63"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</row>
    <row r="127" spans="35:63"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</row>
    <row r="128" spans="35:63"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</row>
    <row r="129" spans="35:63"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</row>
    <row r="130" spans="35:63"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</row>
    <row r="131" spans="35:63"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</row>
    <row r="132" spans="35:63"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</row>
    <row r="133" spans="35:63"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</row>
    <row r="134" spans="35:63"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</row>
    <row r="135" spans="35:63"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</row>
    <row r="136" spans="35:63"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</row>
    <row r="137" spans="35:63"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</row>
    <row r="138" spans="35:63"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</row>
    <row r="139" spans="35:63"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</row>
    <row r="140" spans="35:63"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</row>
    <row r="141" spans="35:63"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</row>
    <row r="142" spans="35:63"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</row>
    <row r="143" spans="35:63"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</row>
    <row r="144" spans="35:63"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</row>
    <row r="145" spans="36:63"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</row>
    <row r="146" spans="36:63"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</row>
    <row r="147" spans="36:63"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</row>
    <row r="148" spans="36:63"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</row>
    <row r="149" spans="36:63"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</row>
    <row r="150" spans="36:63"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</row>
    <row r="151" spans="36:63"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</row>
    <row r="152" spans="36:63"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</row>
    <row r="153" spans="36:63"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</row>
    <row r="154" spans="36:63"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</row>
    <row r="155" spans="36:63"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</row>
    <row r="156" spans="36:63"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</row>
    <row r="157" spans="36:63"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</row>
    <row r="158" spans="36:63"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</row>
    <row r="159" spans="36:63"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</row>
    <row r="160" spans="36:63"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</row>
    <row r="161" spans="36:63"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</row>
    <row r="162" spans="36:63"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</row>
    <row r="163" spans="36:63"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</row>
    <row r="164" spans="36:63"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</row>
    <row r="165" spans="36:63"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</row>
    <row r="166" spans="36:63"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</row>
    <row r="167" spans="36:63"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</row>
    <row r="168" spans="36:63"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</row>
    <row r="169" spans="36:63"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</row>
    <row r="170" spans="36:63"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</row>
    <row r="171" spans="36:63"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</row>
    <row r="172" spans="36:63"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</row>
    <row r="173" spans="36:63"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</row>
    <row r="174" spans="36:63"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</row>
    <row r="175" spans="36:63"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</row>
    <row r="176" spans="36:63"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</row>
    <row r="177" spans="36:63"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</row>
    <row r="178" spans="36:63"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</row>
    <row r="179" spans="36:63"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</row>
    <row r="180" spans="36:63"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</row>
    <row r="181" spans="36:63"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</row>
    <row r="182" spans="36:63"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</row>
    <row r="183" spans="36:63"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</row>
    <row r="184" spans="36:63"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</row>
    <row r="185" spans="36:63"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</row>
    <row r="186" spans="36:63"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</row>
    <row r="187" spans="36:63"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</row>
    <row r="188" spans="36:63"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</row>
    <row r="189" spans="36:63"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</row>
    <row r="190" spans="36:63"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</row>
    <row r="191" spans="36:63"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</row>
    <row r="192" spans="36:63"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</row>
    <row r="193" spans="36:63"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</row>
    <row r="194" spans="36:63"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</row>
    <row r="195" spans="36:63"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</row>
    <row r="196" spans="36:63"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</row>
    <row r="197" spans="36:63"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</row>
    <row r="198" spans="36:63"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</row>
    <row r="199" spans="36:63"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</row>
    <row r="200" spans="36:63"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</row>
    <row r="201" spans="36:63"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</row>
    <row r="202" spans="36:63"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</row>
    <row r="203" spans="36:63"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</row>
    <row r="204" spans="36:63"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</row>
    <row r="205" spans="36:63"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</row>
    <row r="206" spans="36:63"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</row>
    <row r="207" spans="36:63"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</row>
    <row r="208" spans="36:63"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</row>
    <row r="209" spans="36:63"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</row>
    <row r="210" spans="36:63"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</row>
    <row r="211" spans="36:63"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</row>
    <row r="212" spans="36:63"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</row>
    <row r="213" spans="36:63"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</row>
    <row r="214" spans="36:63"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</row>
    <row r="215" spans="36:63"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</row>
    <row r="216" spans="36:63"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</row>
    <row r="217" spans="36:63"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</row>
    <row r="218" spans="36:63"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</row>
    <row r="219" spans="36:63"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</row>
    <row r="220" spans="36:63"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</row>
    <row r="221" spans="36:63"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</row>
    <row r="222" spans="36:63"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</row>
    <row r="223" spans="36:63"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</row>
    <row r="224" spans="36:63"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</row>
    <row r="225" spans="34:63"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</row>
    <row r="226" spans="34:63"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</row>
    <row r="227" spans="34:63"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</row>
    <row r="228" spans="34:63"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</row>
    <row r="229" spans="34:63"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</row>
    <row r="230" spans="34:63"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</row>
    <row r="231" spans="34:63"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</row>
    <row r="232" spans="34:63"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</row>
    <row r="233" spans="34:63"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</row>
    <row r="234" spans="34:63"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</row>
    <row r="235" spans="34:63"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</row>
    <row r="236" spans="34:63"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</row>
    <row r="237" spans="34:63"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</row>
    <row r="238" spans="34:63"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</row>
    <row r="239" spans="34:63"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</row>
    <row r="240" spans="34:63"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</row>
    <row r="241" spans="34:63"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</row>
    <row r="242" spans="34:63"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</row>
    <row r="243" spans="34:63"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</row>
    <row r="244" spans="34:63"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</row>
    <row r="245" spans="34:63"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</row>
    <row r="246" spans="34:63"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</row>
    <row r="247" spans="34:63"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</row>
    <row r="248" spans="34:63"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</row>
    <row r="249" spans="34:63"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</row>
    <row r="250" spans="34:63"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</row>
    <row r="251" spans="34:63"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</row>
    <row r="252" spans="34:63"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</row>
    <row r="253" spans="34:63"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</row>
    <row r="254" spans="34:63"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</row>
    <row r="255" spans="34:63"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</row>
    <row r="256" spans="34:63"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</row>
    <row r="257" spans="34:63"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</row>
    <row r="258" spans="34:63"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</row>
    <row r="259" spans="34:63"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</row>
    <row r="260" spans="34:63"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</row>
    <row r="261" spans="34:63"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</row>
    <row r="262" spans="34:63"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</row>
    <row r="263" spans="34:63"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</row>
    <row r="264" spans="34:63"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</row>
    <row r="265" spans="34:63"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</row>
    <row r="266" spans="34:63"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</row>
    <row r="267" spans="34:63"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</row>
    <row r="268" spans="34:63"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</row>
    <row r="269" spans="34:63"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</row>
    <row r="270" spans="34:63"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</row>
    <row r="271" spans="34:63"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</row>
    <row r="272" spans="34:63"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</row>
    <row r="273" spans="34:63"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</row>
    <row r="274" spans="34:63"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</row>
    <row r="275" spans="34:63"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</row>
    <row r="276" spans="34:63"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</row>
    <row r="277" spans="34:63"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</row>
    <row r="278" spans="34:63"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</row>
    <row r="279" spans="34:63"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</row>
    <row r="280" spans="34:63"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</row>
    <row r="281" spans="34:63"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</row>
    <row r="282" spans="34:63"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</row>
    <row r="283" spans="34:63"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</row>
    <row r="284" spans="34:63"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</row>
    <row r="285" spans="34:63"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</row>
    <row r="286" spans="34:63"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</row>
    <row r="287" spans="34:63"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</row>
    <row r="288" spans="34:63"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</row>
    <row r="289" spans="34:63"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</row>
    <row r="290" spans="34:63"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</row>
    <row r="291" spans="34:63"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</row>
    <row r="292" spans="34:63"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</row>
    <row r="293" spans="34:63"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</row>
    <row r="294" spans="34:63"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</row>
    <row r="295" spans="34:63"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</row>
    <row r="296" spans="34:63"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</row>
    <row r="297" spans="34:63"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</row>
    <row r="298" spans="34:63"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</row>
    <row r="299" spans="34:63"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</row>
    <row r="300" spans="34:63"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</row>
    <row r="301" spans="34:63"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</row>
    <row r="302" spans="34:63"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</row>
    <row r="303" spans="34:63"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</row>
    <row r="304" spans="34:63"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</row>
    <row r="305" spans="34:63"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</row>
    <row r="306" spans="34:63"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</row>
    <row r="307" spans="34:63"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</row>
    <row r="308" spans="34:63"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</row>
    <row r="309" spans="34:63"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</row>
    <row r="310" spans="34:63"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</row>
    <row r="311" spans="34:63"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</row>
    <row r="312" spans="34:63"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</row>
    <row r="313" spans="34:63"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</row>
    <row r="314" spans="34:63"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</row>
    <row r="315" spans="34:63"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</row>
    <row r="316" spans="34:63"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</row>
    <row r="317" spans="34:63"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</row>
    <row r="318" spans="34:63"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</row>
    <row r="319" spans="34:63"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</row>
    <row r="320" spans="34:63"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</row>
    <row r="321" spans="31:63"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</row>
    <row r="322" spans="31:63"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</row>
    <row r="323" spans="31:63"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</row>
    <row r="324" spans="31:63"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</row>
    <row r="325" spans="31:63"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</row>
    <row r="326" spans="31:63"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</row>
    <row r="327" spans="31:63"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</row>
    <row r="328" spans="31:63"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</row>
    <row r="329" spans="31:63"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</row>
    <row r="330" spans="31:63"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</row>
    <row r="331" spans="31:63"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</row>
    <row r="332" spans="31:63"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</row>
    <row r="333" spans="31:63"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</row>
    <row r="334" spans="31:63"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</row>
    <row r="335" spans="31:63"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</row>
    <row r="336" spans="31:63"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</row>
    <row r="337" spans="31:63"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</row>
    <row r="338" spans="31:63"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</row>
    <row r="339" spans="31:63"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</row>
    <row r="340" spans="31:63"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</row>
    <row r="341" spans="31:63"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</row>
    <row r="342" spans="31:63"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</row>
    <row r="343" spans="31:63"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</row>
    <row r="344" spans="31:63"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</row>
    <row r="345" spans="31:63"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</row>
    <row r="346" spans="31:63"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</row>
    <row r="347" spans="31:63"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</row>
    <row r="348" spans="31:63"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</row>
    <row r="349" spans="31:63"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</row>
    <row r="350" spans="31:63"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</row>
    <row r="351" spans="31:63"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</row>
    <row r="352" spans="31:63"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</row>
    <row r="353" spans="31:63"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</row>
    <row r="354" spans="31:63"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</row>
    <row r="355" spans="31:63"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</row>
    <row r="356" spans="31:63"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</row>
    <row r="357" spans="31:63"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</row>
    <row r="358" spans="31:63"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</row>
    <row r="359" spans="31:63"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</row>
    <row r="360" spans="31:63"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</row>
    <row r="361" spans="31:63"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</row>
    <row r="362" spans="31:63"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</row>
    <row r="363" spans="31:63"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</row>
    <row r="364" spans="31:63"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</row>
    <row r="365" spans="31:63"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</row>
    <row r="366" spans="31:63"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</row>
    <row r="367" spans="31:63"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</row>
    <row r="368" spans="31:63"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</row>
    <row r="369" spans="31:63"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</row>
    <row r="370" spans="31:63"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</row>
    <row r="371" spans="31:63"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</row>
    <row r="372" spans="31:63"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</row>
    <row r="373" spans="31:63"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</row>
    <row r="374" spans="31:63"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</row>
    <row r="375" spans="31:63"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</row>
    <row r="376" spans="31:63"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</row>
    <row r="377" spans="31:63"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</row>
    <row r="378" spans="31:63"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</row>
    <row r="379" spans="31:63"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</row>
    <row r="380" spans="31:63"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</row>
    <row r="381" spans="31:63"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</row>
    <row r="382" spans="31:63"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5"/>
      <c r="BK382" s="105"/>
    </row>
    <row r="383" spans="31:63"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</row>
    <row r="384" spans="31:63"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</row>
    <row r="385" spans="31:63"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</row>
    <row r="386" spans="31:63"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/>
      <c r="BG386" s="105"/>
      <c r="BH386" s="105"/>
      <c r="BI386" s="105"/>
      <c r="BJ386" s="105"/>
      <c r="BK386" s="105"/>
    </row>
    <row r="387" spans="31:63"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05"/>
    </row>
    <row r="388" spans="31:63"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5"/>
      <c r="BK388" s="105"/>
    </row>
  </sheetData>
  <mergeCells count="5">
    <mergeCell ref="B68:D68"/>
    <mergeCell ref="K7:N7"/>
    <mergeCell ref="B7:J7"/>
    <mergeCell ref="B6:N6"/>
    <mergeCell ref="R6:AA6"/>
  </mergeCells>
  <pageMargins left="0.25" right="0.25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4"/>
  <sheetViews>
    <sheetView zoomScaleNormal="100" workbookViewId="0">
      <selection activeCell="AA22" sqref="AA22"/>
    </sheetView>
  </sheetViews>
  <sheetFormatPr defaultRowHeight="15"/>
  <cols>
    <col min="1" max="1" width="3.85546875" customWidth="1"/>
    <col min="2" max="2" width="2.28515625" bestFit="1" customWidth="1"/>
    <col min="3" max="3" width="9.140625" bestFit="1" customWidth="1"/>
    <col min="4" max="4" width="1.7109375" bestFit="1" customWidth="1"/>
    <col min="5" max="5" width="9.140625" bestFit="1" customWidth="1"/>
    <col min="6" max="7" width="1.7109375" customWidth="1"/>
    <col min="8" max="8" width="8.7109375" customWidth="1"/>
    <col min="9" max="9" width="8.140625" bestFit="1" customWidth="1"/>
    <col min="10" max="10" width="1" customWidth="1"/>
    <col min="11" max="11" width="3" customWidth="1"/>
    <col min="12" max="12" width="9.140625" bestFit="1" customWidth="1"/>
    <col min="13" max="13" width="1.7109375" bestFit="1" customWidth="1"/>
    <col min="14" max="14" width="9.140625" bestFit="1" customWidth="1"/>
    <col min="15" max="16" width="1.7109375" customWidth="1"/>
    <col min="17" max="17" width="9.42578125" bestFit="1" customWidth="1"/>
    <col min="18" max="18" width="4.140625" bestFit="1" customWidth="1"/>
    <col min="19" max="19" width="7" customWidth="1"/>
    <col min="20" max="20" width="8.5703125" style="11" customWidth="1"/>
    <col min="21" max="21" width="8.5703125" style="11" bestFit="1" customWidth="1"/>
    <col min="22" max="22" width="9.42578125" style="11" customWidth="1"/>
    <col min="23" max="23" width="10.7109375" style="11" bestFit="1" customWidth="1"/>
    <col min="24" max="24" width="8.5703125" style="11" bestFit="1" customWidth="1"/>
    <col min="25" max="25" width="9.140625" style="11"/>
    <col min="26" max="26" width="16.7109375" style="11" bestFit="1" customWidth="1"/>
    <col min="27" max="27" width="8.5703125" style="11" bestFit="1" customWidth="1"/>
  </cols>
  <sheetData>
    <row r="1" spans="1:27">
      <c r="A1" s="803" t="s">
        <v>193</v>
      </c>
      <c r="B1" s="803"/>
      <c r="C1" s="803"/>
      <c r="D1" s="803"/>
      <c r="E1" s="803"/>
      <c r="F1" s="803"/>
      <c r="G1" s="803"/>
      <c r="H1" s="803"/>
      <c r="I1" s="803"/>
      <c r="J1" s="112"/>
      <c r="K1" s="802">
        <v>88</v>
      </c>
      <c r="L1" s="802"/>
    </row>
    <row r="2" spans="1:27">
      <c r="A2" s="802" t="s">
        <v>194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</row>
    <row r="3" spans="1:27" ht="6" customHeight="1"/>
    <row r="4" spans="1:27">
      <c r="A4" s="3" t="s">
        <v>22</v>
      </c>
    </row>
    <row r="5" spans="1:27">
      <c r="B5" s="802" t="s">
        <v>7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8"/>
      <c r="P5" s="88"/>
      <c r="U5" s="667"/>
      <c r="V5" s="667" t="s">
        <v>426</v>
      </c>
      <c r="W5" s="176"/>
      <c r="X5" s="176" t="s">
        <v>22</v>
      </c>
      <c r="Y5" s="667"/>
      <c r="Z5" s="667"/>
    </row>
    <row r="6" spans="1:27">
      <c r="B6" s="122" t="s">
        <v>0</v>
      </c>
      <c r="C6" s="354">
        <v>113</v>
      </c>
      <c r="D6" s="60" t="s">
        <v>49</v>
      </c>
      <c r="E6" s="668">
        <v>32.299999999999997</v>
      </c>
      <c r="F6" s="125" t="s">
        <v>50</v>
      </c>
      <c r="G6" s="125" t="s">
        <v>128</v>
      </c>
      <c r="H6" s="126">
        <v>1.981617743893495</v>
      </c>
      <c r="I6" s="127" t="s">
        <v>21</v>
      </c>
      <c r="K6" s="104" t="s">
        <v>3</v>
      </c>
      <c r="L6" s="64">
        <v>107</v>
      </c>
      <c r="M6" s="60" t="s">
        <v>49</v>
      </c>
      <c r="N6" s="123">
        <v>3.3706592153077963</v>
      </c>
      <c r="O6" s="56" t="s">
        <v>50</v>
      </c>
      <c r="P6" s="56" t="s">
        <v>128</v>
      </c>
      <c r="Q6" s="123">
        <v>1.868482784655096</v>
      </c>
      <c r="R6" s="124" t="s">
        <v>21</v>
      </c>
    </row>
    <row r="7" spans="1:27">
      <c r="B7" s="122" t="s">
        <v>1</v>
      </c>
      <c r="C7" s="64">
        <v>111</v>
      </c>
      <c r="D7" s="60" t="s">
        <v>49</v>
      </c>
      <c r="E7" s="123">
        <v>20.133047841286213</v>
      </c>
      <c r="F7" s="56" t="s">
        <v>50</v>
      </c>
      <c r="G7" s="56" t="s">
        <v>128</v>
      </c>
      <c r="H7" s="123">
        <v>1.9431719359352388</v>
      </c>
      <c r="I7" s="124" t="s">
        <v>21</v>
      </c>
      <c r="K7" s="104" t="s">
        <v>4</v>
      </c>
      <c r="L7" s="355">
        <v>103</v>
      </c>
      <c r="M7" s="60" t="s">
        <v>49</v>
      </c>
      <c r="N7" s="669">
        <v>45.348656599495456</v>
      </c>
      <c r="O7" s="56" t="s">
        <v>50</v>
      </c>
      <c r="P7" s="56" t="s">
        <v>128</v>
      </c>
      <c r="Q7" s="123">
        <v>1.8108805190377835</v>
      </c>
      <c r="R7" s="124" t="s">
        <v>21</v>
      </c>
      <c r="T7" s="9" t="s">
        <v>427</v>
      </c>
      <c r="U7" s="9" t="b">
        <v>1</v>
      </c>
      <c r="W7" s="9" t="s">
        <v>428</v>
      </c>
      <c r="X7" s="9" t="b">
        <v>1</v>
      </c>
      <c r="Z7" s="9" t="s">
        <v>429</v>
      </c>
      <c r="AA7" s="10" t="b">
        <v>1</v>
      </c>
    </row>
    <row r="8" spans="1:27">
      <c r="B8" s="104" t="s">
        <v>2</v>
      </c>
      <c r="C8" s="64">
        <v>114</v>
      </c>
      <c r="D8" s="60" t="s">
        <v>49</v>
      </c>
      <c r="E8" s="123">
        <v>28.056142543080966</v>
      </c>
      <c r="F8" s="56" t="s">
        <v>50</v>
      </c>
      <c r="G8" s="56" t="s">
        <v>128</v>
      </c>
      <c r="H8" s="123">
        <v>1.9978365483199625</v>
      </c>
      <c r="I8" s="124" t="s">
        <v>21</v>
      </c>
      <c r="K8" s="104" t="s">
        <v>5</v>
      </c>
      <c r="L8" s="355">
        <v>108</v>
      </c>
      <c r="M8" s="60" t="s">
        <v>49</v>
      </c>
      <c r="N8" s="669">
        <v>21.144380209728837</v>
      </c>
      <c r="O8" s="56" t="s">
        <v>50</v>
      </c>
      <c r="P8" s="56" t="s">
        <v>128</v>
      </c>
      <c r="Q8" s="123">
        <v>1.8911062430364307</v>
      </c>
      <c r="R8" s="124" t="s">
        <v>21</v>
      </c>
      <c r="T8" s="9" t="s">
        <v>430</v>
      </c>
      <c r="U8" s="9" t="b">
        <v>1</v>
      </c>
      <c r="W8" s="9" t="s">
        <v>431</v>
      </c>
      <c r="X8" s="9" t="b">
        <v>1</v>
      </c>
      <c r="Z8" s="9" t="s">
        <v>432</v>
      </c>
      <c r="AA8" s="10" t="b">
        <v>1</v>
      </c>
    </row>
    <row r="9" spans="1:27">
      <c r="T9" s="9" t="s">
        <v>433</v>
      </c>
      <c r="U9" s="9" t="b">
        <v>1</v>
      </c>
      <c r="W9" s="9" t="s">
        <v>434</v>
      </c>
      <c r="X9" s="9" t="b">
        <v>1</v>
      </c>
      <c r="Z9" s="9" t="s">
        <v>435</v>
      </c>
      <c r="AA9" s="10" t="b">
        <v>1</v>
      </c>
    </row>
    <row r="10" spans="1:27">
      <c r="C10" s="119" t="s">
        <v>8</v>
      </c>
      <c r="D10" s="120" t="s">
        <v>128</v>
      </c>
      <c r="E10" s="119">
        <v>-2.3671498388736962</v>
      </c>
      <c r="F10" s="120"/>
      <c r="G10" s="120"/>
      <c r="H10" s="119" t="s">
        <v>11</v>
      </c>
      <c r="I10" s="119">
        <v>-1.1710884114621924</v>
      </c>
      <c r="J10" s="120"/>
      <c r="K10" s="120"/>
      <c r="L10" s="119" t="s">
        <v>1</v>
      </c>
      <c r="M10" s="11" t="s">
        <v>128</v>
      </c>
      <c r="N10" s="119">
        <v>1.9431719359352388</v>
      </c>
      <c r="O10" s="121"/>
      <c r="P10" s="119" t="s">
        <v>128</v>
      </c>
      <c r="Q10" s="119">
        <v>111.33555079735477</v>
      </c>
      <c r="R10" t="s">
        <v>49</v>
      </c>
      <c r="T10" s="9" t="s">
        <v>436</v>
      </c>
      <c r="U10" s="9" t="b">
        <v>1</v>
      </c>
      <c r="W10" s="9" t="s">
        <v>437</v>
      </c>
      <c r="X10" s="9" t="b">
        <v>1</v>
      </c>
      <c r="Z10" s="9" t="s">
        <v>438</v>
      </c>
      <c r="AA10" s="9" t="b">
        <v>1</v>
      </c>
    </row>
    <row r="11" spans="1:27">
      <c r="C11" s="119" t="s">
        <v>9</v>
      </c>
      <c r="D11" s="120" t="s">
        <v>128</v>
      </c>
      <c r="E11" s="119">
        <v>-2.7339114471818728E-2</v>
      </c>
      <c r="F11" s="120"/>
      <c r="G11" s="120"/>
      <c r="H11" s="119" t="s">
        <v>12</v>
      </c>
      <c r="I11" s="119">
        <v>-2.7332306192361829E-2</v>
      </c>
      <c r="J11" s="120"/>
      <c r="K11" s="120"/>
      <c r="L11" s="119" t="s">
        <v>2</v>
      </c>
      <c r="M11" s="11" t="s">
        <v>128</v>
      </c>
      <c r="N11" s="119">
        <v>1.9978365483199625</v>
      </c>
      <c r="O11" s="121"/>
      <c r="P11" s="119" t="s">
        <v>128</v>
      </c>
      <c r="Q11" s="119">
        <v>114.46760237571802</v>
      </c>
      <c r="R11" t="s">
        <v>49</v>
      </c>
      <c r="T11" s="9" t="s">
        <v>439</v>
      </c>
      <c r="U11" s="9" t="b">
        <v>1</v>
      </c>
      <c r="W11" s="9" t="s">
        <v>440</v>
      </c>
      <c r="X11" s="9" t="b">
        <v>1</v>
      </c>
      <c r="Z11" s="9" t="s">
        <v>441</v>
      </c>
      <c r="AA11" s="9" t="b">
        <v>1</v>
      </c>
    </row>
    <row r="12" spans="1:27">
      <c r="C12" s="119" t="s">
        <v>10</v>
      </c>
      <c r="D12" s="120" t="s">
        <v>128</v>
      </c>
      <c r="E12" s="119">
        <v>-0.29330920652550585</v>
      </c>
      <c r="F12" s="120"/>
      <c r="G12" s="120"/>
      <c r="H12" s="120"/>
      <c r="I12" s="120"/>
      <c r="J12" s="120"/>
      <c r="K12" s="120"/>
      <c r="L12" s="119" t="s">
        <v>3</v>
      </c>
      <c r="M12" s="11" t="s">
        <v>128</v>
      </c>
      <c r="N12" s="119">
        <v>1.868482784655096</v>
      </c>
      <c r="O12" s="121"/>
      <c r="P12" s="119" t="s">
        <v>128</v>
      </c>
      <c r="Q12" s="119">
        <v>107.05617765358846</v>
      </c>
      <c r="R12" t="s">
        <v>49</v>
      </c>
      <c r="T12" s="9" t="s">
        <v>442</v>
      </c>
      <c r="U12" s="9" t="b">
        <v>1</v>
      </c>
      <c r="Z12" s="9" t="s">
        <v>443</v>
      </c>
      <c r="AA12" s="9" t="b">
        <v>1</v>
      </c>
    </row>
    <row r="13" spans="1:27" ht="6" customHeight="1">
      <c r="B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</row>
    <row r="14" spans="1:27">
      <c r="A14" s="3" t="s">
        <v>23</v>
      </c>
    </row>
    <row r="15" spans="1:27">
      <c r="B15" s="802" t="s">
        <v>13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  <c r="N15" s="802"/>
      <c r="O15" s="88"/>
      <c r="P15" s="88"/>
      <c r="V15" s="667" t="s">
        <v>426</v>
      </c>
      <c r="X15" s="42" t="s">
        <v>23</v>
      </c>
    </row>
    <row r="16" spans="1:27">
      <c r="B16" s="104" t="s">
        <v>0</v>
      </c>
      <c r="C16" s="64">
        <v>123</v>
      </c>
      <c r="D16" s="60" t="s">
        <v>49</v>
      </c>
      <c r="E16" s="123">
        <v>23.990673267375087</v>
      </c>
      <c r="F16" s="56" t="s">
        <v>50</v>
      </c>
      <c r="G16" s="56" t="s">
        <v>128</v>
      </c>
      <c r="H16" s="123">
        <v>2.1537335839244567</v>
      </c>
      <c r="I16" s="124" t="s">
        <v>21</v>
      </c>
      <c r="K16" s="104" t="s">
        <v>3</v>
      </c>
      <c r="L16" s="355">
        <v>118</v>
      </c>
      <c r="M16" s="60" t="s">
        <v>49</v>
      </c>
      <c r="N16" s="668">
        <v>8.1</v>
      </c>
      <c r="O16" s="56" t="s">
        <v>50</v>
      </c>
      <c r="P16" s="56" t="s">
        <v>128</v>
      </c>
      <c r="Q16" s="123">
        <v>2.0618447118435013</v>
      </c>
      <c r="R16" s="124" t="s">
        <v>21</v>
      </c>
    </row>
    <row r="17" spans="1:27">
      <c r="B17" s="104" t="s">
        <v>1</v>
      </c>
      <c r="C17" s="64">
        <v>111</v>
      </c>
      <c r="D17" s="60" t="s">
        <v>49</v>
      </c>
      <c r="E17" s="123">
        <v>20.133047841286213</v>
      </c>
      <c r="F17" s="56" t="s">
        <v>50</v>
      </c>
      <c r="G17" s="56" t="s">
        <v>128</v>
      </c>
      <c r="H17" s="123">
        <v>1.9431719359352386</v>
      </c>
      <c r="I17" s="124" t="s">
        <v>21</v>
      </c>
      <c r="K17" s="104" t="s">
        <v>4</v>
      </c>
      <c r="L17" s="64">
        <v>100</v>
      </c>
      <c r="M17" s="60" t="s">
        <v>49</v>
      </c>
      <c r="N17" s="123">
        <v>17.840330620573752</v>
      </c>
      <c r="O17" s="56" t="s">
        <v>50</v>
      </c>
      <c r="P17" s="56" t="s">
        <v>128</v>
      </c>
      <c r="Q17" s="123">
        <v>1.7505187938105524</v>
      </c>
      <c r="R17" s="124" t="s">
        <v>21</v>
      </c>
      <c r="T17" s="9" t="s">
        <v>427</v>
      </c>
      <c r="U17" s="9" t="b">
        <v>1</v>
      </c>
      <c r="W17" s="9" t="s">
        <v>428</v>
      </c>
      <c r="X17" s="9" t="b">
        <v>1</v>
      </c>
      <c r="Z17" s="9" t="s">
        <v>429</v>
      </c>
      <c r="AA17" s="10" t="b">
        <v>1</v>
      </c>
    </row>
    <row r="18" spans="1:27">
      <c r="B18" s="104" t="s">
        <v>2</v>
      </c>
      <c r="C18" s="64">
        <v>114</v>
      </c>
      <c r="D18" s="60" t="s">
        <v>49</v>
      </c>
      <c r="E18" s="123">
        <v>28.056142543080966</v>
      </c>
      <c r="F18" s="56" t="s">
        <v>50</v>
      </c>
      <c r="G18" s="56" t="s">
        <v>128</v>
      </c>
      <c r="H18" s="123">
        <v>1.9978365483199625</v>
      </c>
      <c r="I18" s="124" t="s">
        <v>21</v>
      </c>
      <c r="K18" s="104" t="s">
        <v>5</v>
      </c>
      <c r="L18" s="64">
        <v>105</v>
      </c>
      <c r="M18" s="60" t="s">
        <v>49</v>
      </c>
      <c r="N18" s="123">
        <v>57.947332152565139</v>
      </c>
      <c r="O18" s="56" t="s">
        <v>50</v>
      </c>
      <c r="P18" s="56" t="s">
        <v>128</v>
      </c>
      <c r="Q18" s="123">
        <v>1.8494519102408633</v>
      </c>
      <c r="R18" s="124" t="s">
        <v>21</v>
      </c>
      <c r="T18" s="9" t="s">
        <v>430</v>
      </c>
      <c r="U18" s="9" t="b">
        <v>1</v>
      </c>
      <c r="W18" s="9" t="s">
        <v>431</v>
      </c>
      <c r="X18" s="9" t="b">
        <v>1</v>
      </c>
      <c r="Z18" s="9" t="s">
        <v>432</v>
      </c>
      <c r="AA18" s="10" t="b">
        <v>1</v>
      </c>
    </row>
    <row r="19" spans="1:27">
      <c r="T19" s="9" t="s">
        <v>433</v>
      </c>
      <c r="U19" s="9" t="b">
        <v>1</v>
      </c>
      <c r="W19" s="9" t="s">
        <v>434</v>
      </c>
      <c r="X19" s="9" t="b">
        <v>1</v>
      </c>
      <c r="Z19" s="9" t="s">
        <v>435</v>
      </c>
      <c r="AA19" s="10" t="b">
        <v>1</v>
      </c>
    </row>
    <row r="20" spans="1:27">
      <c r="C20" s="119" t="s">
        <v>14</v>
      </c>
      <c r="D20" s="120" t="s">
        <v>128</v>
      </c>
      <c r="E20" s="119">
        <v>-4.2865454535765144</v>
      </c>
      <c r="F20" s="120"/>
      <c r="G20" s="120"/>
      <c r="H20" s="119" t="s">
        <v>16</v>
      </c>
      <c r="I20" s="119">
        <v>-1.3416073015640853</v>
      </c>
      <c r="J20" s="120"/>
      <c r="K20" s="120"/>
      <c r="L20" s="119" t="s">
        <v>4</v>
      </c>
      <c r="M20" s="11" t="s">
        <v>128</v>
      </c>
      <c r="N20" s="119">
        <v>1.7505187938105524</v>
      </c>
      <c r="O20" s="119"/>
      <c r="P20" s="119" t="s">
        <v>128</v>
      </c>
      <c r="Q20" s="119">
        <v>100.29733884367623</v>
      </c>
      <c r="R20" t="s">
        <v>49</v>
      </c>
      <c r="T20" s="9" t="s">
        <v>436</v>
      </c>
      <c r="U20" s="9" t="b">
        <v>1</v>
      </c>
      <c r="W20" s="9" t="s">
        <v>437</v>
      </c>
      <c r="X20" s="9" t="b">
        <v>1</v>
      </c>
      <c r="Z20" s="9" t="s">
        <v>438</v>
      </c>
      <c r="AA20" s="9" t="b">
        <v>1</v>
      </c>
    </row>
    <row r="21" spans="1:27">
      <c r="C21" s="119" t="s">
        <v>15</v>
      </c>
      <c r="D21" s="120" t="s">
        <v>128</v>
      </c>
      <c r="E21" s="119">
        <v>-4.9506944984835745E-2</v>
      </c>
      <c r="F21" s="120"/>
      <c r="G21" s="120"/>
      <c r="H21" s="119" t="s">
        <v>17</v>
      </c>
      <c r="I21" s="119">
        <v>-4.9466558215155353E-2</v>
      </c>
      <c r="J21" s="120"/>
      <c r="K21" s="120"/>
      <c r="L21" s="119" t="s">
        <v>5</v>
      </c>
      <c r="M21" s="11" t="s">
        <v>128</v>
      </c>
      <c r="N21" s="119">
        <v>1.8494519102408633</v>
      </c>
      <c r="O21" s="119"/>
      <c r="P21" s="119" t="s">
        <v>128</v>
      </c>
      <c r="Q21" s="119">
        <v>105.96578886920942</v>
      </c>
      <c r="R21" t="s">
        <v>49</v>
      </c>
      <c r="T21" s="9" t="s">
        <v>439</v>
      </c>
      <c r="U21" s="9" t="b">
        <v>1</v>
      </c>
      <c r="W21" s="9" t="s">
        <v>440</v>
      </c>
      <c r="X21" s="9" t="b">
        <v>1</v>
      </c>
      <c r="Z21" s="9" t="s">
        <v>441</v>
      </c>
      <c r="AA21" s="9" t="b">
        <v>1</v>
      </c>
    </row>
    <row r="22" spans="1:27">
      <c r="C22" s="119" t="s">
        <v>18</v>
      </c>
      <c r="D22" s="120" t="s">
        <v>128</v>
      </c>
      <c r="E22" s="119">
        <v>-0.55047847511020631</v>
      </c>
      <c r="F22" s="120"/>
      <c r="G22" s="120"/>
      <c r="H22" s="120"/>
      <c r="I22" s="120"/>
      <c r="J22" s="120"/>
      <c r="K22" s="120"/>
      <c r="L22" s="119" t="s">
        <v>0</v>
      </c>
      <c r="M22" s="11" t="s">
        <v>128</v>
      </c>
      <c r="N22" s="119">
        <v>2.1537335839244567</v>
      </c>
      <c r="O22" s="119"/>
      <c r="P22" s="119" t="s">
        <v>128</v>
      </c>
      <c r="Q22" s="119">
        <v>123.39984455445625</v>
      </c>
      <c r="R22" t="s">
        <v>49</v>
      </c>
      <c r="T22" s="9" t="s">
        <v>442</v>
      </c>
      <c r="U22" s="9" t="b">
        <v>1</v>
      </c>
      <c r="Z22" s="9" t="s">
        <v>443</v>
      </c>
      <c r="AA22" s="9" t="b">
        <v>1</v>
      </c>
    </row>
    <row r="23" spans="1:27" ht="6" customHeight="1"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</row>
    <row r="24" spans="1:27">
      <c r="A24" s="3" t="s">
        <v>24</v>
      </c>
    </row>
    <row r="25" spans="1:27">
      <c r="B25" s="802" t="s">
        <v>7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8"/>
      <c r="P25" s="88"/>
      <c r="V25" s="667" t="s">
        <v>426</v>
      </c>
      <c r="X25" s="42" t="s">
        <v>24</v>
      </c>
    </row>
    <row r="26" spans="1:27">
      <c r="B26" s="104" t="s">
        <v>0</v>
      </c>
      <c r="C26" s="355">
        <v>123</v>
      </c>
      <c r="D26" s="60" t="s">
        <v>49</v>
      </c>
      <c r="E26" s="668">
        <v>34.299999999999997</v>
      </c>
      <c r="F26" s="56" t="s">
        <v>50</v>
      </c>
      <c r="G26" s="56" t="s">
        <v>128</v>
      </c>
      <c r="H26" s="123">
        <v>2.1567324455102597</v>
      </c>
      <c r="I26" s="124" t="s">
        <v>21</v>
      </c>
      <c r="K26" s="104" t="s">
        <v>3</v>
      </c>
      <c r="L26" s="64">
        <v>118</v>
      </c>
      <c r="M26" s="60" t="s">
        <v>49</v>
      </c>
      <c r="N26" s="123">
        <v>17.32986199995338</v>
      </c>
      <c r="O26" s="56" t="s">
        <v>50</v>
      </c>
      <c r="P26" s="56" t="s">
        <v>128</v>
      </c>
      <c r="Q26" s="123">
        <v>2.0645295698668993</v>
      </c>
      <c r="R26" s="124" t="s">
        <v>21</v>
      </c>
    </row>
    <row r="27" spans="1:27">
      <c r="B27" s="104" t="s">
        <v>1</v>
      </c>
      <c r="C27" s="64">
        <v>111</v>
      </c>
      <c r="D27" s="60" t="s">
        <v>49</v>
      </c>
      <c r="E27" s="123">
        <v>24.906773835080003</v>
      </c>
      <c r="F27" s="56" t="s">
        <v>50</v>
      </c>
      <c r="G27" s="56" t="s">
        <v>128</v>
      </c>
      <c r="H27" s="123">
        <v>1.9445605565382345</v>
      </c>
      <c r="I27" s="124" t="s">
        <v>21</v>
      </c>
      <c r="K27" s="104" t="s">
        <v>4</v>
      </c>
      <c r="L27" s="64">
        <v>100</v>
      </c>
      <c r="M27" s="60" t="s">
        <v>49</v>
      </c>
      <c r="N27" s="123">
        <v>17.840330620573752</v>
      </c>
      <c r="O27" s="56" t="s">
        <v>50</v>
      </c>
      <c r="P27" s="56" t="s">
        <v>128</v>
      </c>
      <c r="Q27" s="123">
        <v>1.7505187938105524</v>
      </c>
      <c r="R27" s="124" t="s">
        <v>21</v>
      </c>
      <c r="T27" s="9" t="s">
        <v>427</v>
      </c>
      <c r="U27" s="9" t="b">
        <v>1</v>
      </c>
      <c r="W27" s="9" t="s">
        <v>428</v>
      </c>
      <c r="X27" s="9" t="b">
        <v>1</v>
      </c>
      <c r="Z27" s="9" t="s">
        <v>429</v>
      </c>
      <c r="AA27" s="10" t="b">
        <v>1</v>
      </c>
    </row>
    <row r="28" spans="1:27">
      <c r="B28" s="104" t="s">
        <v>2</v>
      </c>
      <c r="C28" s="64">
        <v>114</v>
      </c>
      <c r="D28" s="60" t="s">
        <v>49</v>
      </c>
      <c r="E28" s="123">
        <v>32.155708289764675</v>
      </c>
      <c r="F28" s="56" t="s">
        <v>50</v>
      </c>
      <c r="G28" s="56" t="s">
        <v>128</v>
      </c>
      <c r="H28" s="123">
        <v>1.9990290636563228</v>
      </c>
      <c r="I28" s="124" t="s">
        <v>21</v>
      </c>
      <c r="K28" s="104" t="s">
        <v>5</v>
      </c>
      <c r="L28" s="64">
        <v>105</v>
      </c>
      <c r="M28" s="60" t="s">
        <v>49</v>
      </c>
      <c r="N28" s="123">
        <v>57.947332152565139</v>
      </c>
      <c r="O28" s="56" t="s">
        <v>50</v>
      </c>
      <c r="P28" s="56" t="s">
        <v>128</v>
      </c>
      <c r="Q28" s="123">
        <v>1.8494519102408631</v>
      </c>
      <c r="R28" s="124" t="s">
        <v>21</v>
      </c>
      <c r="T28" s="9" t="s">
        <v>430</v>
      </c>
      <c r="U28" s="9" t="b">
        <v>1</v>
      </c>
      <c r="W28" s="9" t="s">
        <v>431</v>
      </c>
      <c r="X28" s="9" t="b">
        <v>1</v>
      </c>
      <c r="Z28" s="9" t="s">
        <v>432</v>
      </c>
      <c r="AA28" s="10" t="b">
        <v>1</v>
      </c>
    </row>
    <row r="29" spans="1:27">
      <c r="T29" s="9" t="s">
        <v>433</v>
      </c>
      <c r="U29" s="9" t="b">
        <v>1</v>
      </c>
      <c r="W29" s="9" t="s">
        <v>434</v>
      </c>
      <c r="X29" s="9" t="b">
        <v>1</v>
      </c>
      <c r="Z29" s="9" t="s">
        <v>435</v>
      </c>
      <c r="AA29" s="10" t="b">
        <v>1</v>
      </c>
    </row>
    <row r="30" spans="1:27">
      <c r="A30" s="120"/>
      <c r="C30" s="119" t="s">
        <v>8</v>
      </c>
      <c r="D30" s="120" t="s">
        <v>128</v>
      </c>
      <c r="E30" s="119">
        <v>-2.3586536553095692</v>
      </c>
      <c r="F30" s="120"/>
      <c r="G30" s="120"/>
      <c r="H30" s="119" t="s">
        <v>11</v>
      </c>
      <c r="I30" s="119">
        <v>-1.1697978434925145</v>
      </c>
      <c r="J30" s="120"/>
      <c r="K30" s="120"/>
      <c r="L30" s="119" t="s">
        <v>1</v>
      </c>
      <c r="M30" s="11" t="s">
        <v>128</v>
      </c>
      <c r="N30" s="119">
        <v>1.9445605565382345</v>
      </c>
      <c r="O30" s="119"/>
      <c r="P30" s="119" t="s">
        <v>128</v>
      </c>
      <c r="Q30" s="119">
        <v>111.41511289725133</v>
      </c>
      <c r="R30" t="s">
        <v>49</v>
      </c>
      <c r="T30" s="9" t="s">
        <v>436</v>
      </c>
      <c r="U30" s="9" t="b">
        <v>1</v>
      </c>
      <c r="W30" s="9" t="s">
        <v>437</v>
      </c>
      <c r="X30" s="9" t="b">
        <v>1</v>
      </c>
      <c r="Z30" s="9" t="s">
        <v>438</v>
      </c>
      <c r="AA30" s="9" t="b">
        <v>1</v>
      </c>
    </row>
    <row r="31" spans="1:27">
      <c r="A31" s="120"/>
      <c r="C31" s="119" t="s">
        <v>9</v>
      </c>
      <c r="D31" s="120" t="s">
        <v>128</v>
      </c>
      <c r="E31" s="119">
        <v>-2.7240988814026104E-2</v>
      </c>
      <c r="F31" s="120"/>
      <c r="G31" s="120"/>
      <c r="H31" s="119" t="s">
        <v>12</v>
      </c>
      <c r="I31" s="119">
        <v>-2.7234253559044175E-2</v>
      </c>
      <c r="J31" s="120"/>
      <c r="K31" s="120"/>
      <c r="L31" s="119" t="s">
        <v>2</v>
      </c>
      <c r="M31" s="11" t="s">
        <v>128</v>
      </c>
      <c r="N31" s="119">
        <v>1.9990290636563228</v>
      </c>
      <c r="O31" s="119"/>
      <c r="P31" s="119" t="s">
        <v>128</v>
      </c>
      <c r="Q31" s="119">
        <v>114.53592847149608</v>
      </c>
      <c r="R31" t="s">
        <v>49</v>
      </c>
      <c r="T31" s="9" t="s">
        <v>439</v>
      </c>
      <c r="U31" s="9" t="b">
        <v>1</v>
      </c>
      <c r="W31" s="9" t="s">
        <v>440</v>
      </c>
      <c r="X31" s="9" t="b">
        <v>1</v>
      </c>
      <c r="Z31" s="9" t="s">
        <v>441</v>
      </c>
      <c r="AA31" s="9" t="b">
        <v>1</v>
      </c>
    </row>
    <row r="32" spans="1:27">
      <c r="A32" s="120"/>
      <c r="C32" s="119" t="s">
        <v>10</v>
      </c>
      <c r="D32" s="120" t="s">
        <v>128</v>
      </c>
      <c r="E32" s="119">
        <v>-0.4739165639742593</v>
      </c>
      <c r="F32" s="120"/>
      <c r="G32" s="120"/>
      <c r="H32" s="120"/>
      <c r="I32" s="120"/>
      <c r="J32" s="120"/>
      <c r="K32" s="120"/>
      <c r="L32" s="119" t="s">
        <v>3</v>
      </c>
      <c r="M32" s="11" t="s">
        <v>128</v>
      </c>
      <c r="N32" s="119">
        <v>2.0645295698668993</v>
      </c>
      <c r="O32" s="119"/>
      <c r="P32" s="119" t="s">
        <v>128</v>
      </c>
      <c r="Q32" s="119">
        <v>118.28883103333256</v>
      </c>
      <c r="R32" t="s">
        <v>49</v>
      </c>
      <c r="T32" s="9" t="s">
        <v>442</v>
      </c>
      <c r="U32" s="9" t="b">
        <v>1</v>
      </c>
      <c r="Z32" s="9" t="s">
        <v>443</v>
      </c>
      <c r="AA32" s="9" t="b">
        <v>1</v>
      </c>
    </row>
    <row r="33" spans="1:27" ht="6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</row>
    <row r="34" spans="1:27">
      <c r="A34" s="3" t="s">
        <v>25</v>
      </c>
    </row>
    <row r="35" spans="1:27">
      <c r="B35" s="802" t="s">
        <v>237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8"/>
      <c r="P35" s="88"/>
      <c r="V35" s="667" t="s">
        <v>426</v>
      </c>
      <c r="X35" s="42" t="s">
        <v>25</v>
      </c>
    </row>
    <row r="36" spans="1:27">
      <c r="B36" s="104" t="s">
        <v>0</v>
      </c>
      <c r="C36" s="64">
        <v>132</v>
      </c>
      <c r="D36" s="60" t="s">
        <v>49</v>
      </c>
      <c r="E36" s="123">
        <v>58.029152306442029</v>
      </c>
      <c r="F36" s="56" t="s">
        <v>50</v>
      </c>
      <c r="G36" s="56" t="s">
        <v>128</v>
      </c>
      <c r="H36" s="123">
        <v>2.3207146087973261</v>
      </c>
      <c r="I36" s="124" t="s">
        <v>21</v>
      </c>
      <c r="K36" s="104" t="s">
        <v>3</v>
      </c>
      <c r="L36" s="355">
        <v>128</v>
      </c>
      <c r="M36" s="60" t="s">
        <v>49</v>
      </c>
      <c r="N36" s="668">
        <v>44.3</v>
      </c>
      <c r="O36" s="56" t="s">
        <v>50</v>
      </c>
      <c r="P36" s="56" t="s">
        <v>128</v>
      </c>
      <c r="Q36" s="123">
        <v>2.2469077901966332</v>
      </c>
      <c r="R36" s="124" t="s">
        <v>21</v>
      </c>
    </row>
    <row r="37" spans="1:27">
      <c r="B37" s="104" t="s">
        <v>1</v>
      </c>
      <c r="C37" s="64">
        <v>111</v>
      </c>
      <c r="D37" s="60" t="s">
        <v>49</v>
      </c>
      <c r="E37" s="123">
        <v>24.906773835080003</v>
      </c>
      <c r="F37" s="56" t="s">
        <v>50</v>
      </c>
      <c r="G37" s="56" t="s">
        <v>128</v>
      </c>
      <c r="H37" s="123">
        <v>1.9445605565382345</v>
      </c>
      <c r="I37" s="124" t="s">
        <v>21</v>
      </c>
      <c r="K37" s="104" t="s">
        <v>4</v>
      </c>
      <c r="L37" s="64">
        <v>97</v>
      </c>
      <c r="M37" s="60" t="s">
        <v>49</v>
      </c>
      <c r="N37" s="123">
        <v>5.0094282141370172</v>
      </c>
      <c r="O37" s="56" t="s">
        <v>50</v>
      </c>
      <c r="P37" s="56" t="s">
        <v>128</v>
      </c>
      <c r="Q37" s="123">
        <v>1.6944265580341493</v>
      </c>
      <c r="R37" s="124" t="s">
        <v>21</v>
      </c>
      <c r="T37" s="9" t="s">
        <v>427</v>
      </c>
      <c r="U37" s="9" t="b">
        <v>1</v>
      </c>
      <c r="W37" s="9" t="s">
        <v>428</v>
      </c>
      <c r="X37" s="9" t="b">
        <v>1</v>
      </c>
      <c r="Z37" s="9" t="s">
        <v>429</v>
      </c>
      <c r="AA37" s="10" t="b">
        <v>1</v>
      </c>
    </row>
    <row r="38" spans="1:27">
      <c r="B38" s="104" t="s">
        <v>2</v>
      </c>
      <c r="C38" s="64">
        <v>114</v>
      </c>
      <c r="D38" s="60" t="s">
        <v>49</v>
      </c>
      <c r="E38" s="123">
        <v>32.155708289764675</v>
      </c>
      <c r="F38" s="56" t="s">
        <v>50</v>
      </c>
      <c r="G38" s="56" t="s">
        <v>128</v>
      </c>
      <c r="H38" s="123">
        <v>1.9990290636563226</v>
      </c>
      <c r="I38" s="124" t="s">
        <v>21</v>
      </c>
      <c r="K38" s="104" t="s">
        <v>5</v>
      </c>
      <c r="L38" s="64">
        <v>104</v>
      </c>
      <c r="M38" s="60" t="s">
        <v>49</v>
      </c>
      <c r="N38" s="123">
        <v>8.3287117070557315</v>
      </c>
      <c r="O38" s="56" t="s">
        <v>50</v>
      </c>
      <c r="P38" s="56" t="s">
        <v>128</v>
      </c>
      <c r="Q38" s="123">
        <v>1.8175651461030615</v>
      </c>
      <c r="R38" s="124" t="s">
        <v>21</v>
      </c>
      <c r="T38" s="9" t="s">
        <v>430</v>
      </c>
      <c r="U38" s="9" t="b">
        <v>1</v>
      </c>
      <c r="W38" s="9" t="s">
        <v>431</v>
      </c>
      <c r="X38" s="9" t="b">
        <v>1</v>
      </c>
      <c r="Z38" s="9" t="s">
        <v>432</v>
      </c>
      <c r="AA38" s="10" t="b">
        <v>1</v>
      </c>
    </row>
    <row r="39" spans="1:27">
      <c r="T39" s="9" t="s">
        <v>433</v>
      </c>
      <c r="U39" s="9" t="b">
        <v>1</v>
      </c>
      <c r="W39" s="9" t="s">
        <v>434</v>
      </c>
      <c r="X39" s="9" t="b">
        <v>1</v>
      </c>
      <c r="Z39" s="9" t="s">
        <v>435</v>
      </c>
      <c r="AA39" s="10" t="b">
        <v>1</v>
      </c>
    </row>
    <row r="40" spans="1:27">
      <c r="C40" s="119" t="s">
        <v>14</v>
      </c>
      <c r="D40" s="120" t="s">
        <v>128</v>
      </c>
      <c r="E40" s="119">
        <v>-5.3377070790968046</v>
      </c>
      <c r="F40" s="120"/>
      <c r="G40" s="120"/>
      <c r="H40" s="119" t="s">
        <v>16</v>
      </c>
      <c r="I40" s="119">
        <v>-1.3855968015211877</v>
      </c>
      <c r="J40" s="120"/>
      <c r="K40" s="120"/>
      <c r="L40" s="119" t="s">
        <v>4</v>
      </c>
      <c r="M40" s="11" t="s">
        <v>128</v>
      </c>
      <c r="N40" s="119">
        <v>1.6944265580341493</v>
      </c>
      <c r="O40" s="119"/>
      <c r="P40" s="119" t="s">
        <v>128</v>
      </c>
      <c r="Q40" s="119">
        <v>97.083490470235617</v>
      </c>
      <c r="R40" t="s">
        <v>49</v>
      </c>
      <c r="T40" s="9" t="s">
        <v>436</v>
      </c>
      <c r="U40" s="9" t="b">
        <v>1</v>
      </c>
      <c r="W40" s="9" t="s">
        <v>437</v>
      </c>
      <c r="X40" s="9" t="b">
        <v>1</v>
      </c>
      <c r="Z40" s="9" t="s">
        <v>438</v>
      </c>
      <c r="AA40" s="9" t="b">
        <v>1</v>
      </c>
    </row>
    <row r="41" spans="1:27">
      <c r="C41" s="119" t="s">
        <v>15</v>
      </c>
      <c r="D41" s="120" t="s">
        <v>128</v>
      </c>
      <c r="E41" s="119">
        <v>-6.1647210690261078E-2</v>
      </c>
      <c r="F41" s="120"/>
      <c r="G41" s="120"/>
      <c r="H41" s="119" t="s">
        <v>17</v>
      </c>
      <c r="I41" s="119">
        <v>-6.156929403445615E-2</v>
      </c>
      <c r="J41" s="120"/>
      <c r="K41" s="120"/>
      <c r="L41" s="119" t="s">
        <v>5</v>
      </c>
      <c r="M41" s="11" t="s">
        <v>128</v>
      </c>
      <c r="N41" s="119">
        <v>1.8175651461030615</v>
      </c>
      <c r="O41" s="119"/>
      <c r="P41" s="119" t="s">
        <v>128</v>
      </c>
      <c r="Q41" s="119">
        <v>104.13881186178426</v>
      </c>
      <c r="R41" t="s">
        <v>49</v>
      </c>
      <c r="T41" s="9" t="s">
        <v>439</v>
      </c>
      <c r="U41" s="9" t="b">
        <v>1</v>
      </c>
      <c r="W41" s="9" t="s">
        <v>440</v>
      </c>
      <c r="X41" s="9" t="b">
        <v>1</v>
      </c>
      <c r="Z41" s="9" t="s">
        <v>441</v>
      </c>
      <c r="AA41" s="9" t="b">
        <v>1</v>
      </c>
    </row>
    <row r="42" spans="1:27">
      <c r="C42" s="119" t="s">
        <v>18</v>
      </c>
      <c r="D42" s="120" t="s">
        <v>128</v>
      </c>
      <c r="E42" s="119">
        <v>-0.68157896559825737</v>
      </c>
      <c r="F42" s="120"/>
      <c r="G42" s="120"/>
      <c r="H42" s="120"/>
      <c r="I42" s="120"/>
      <c r="J42" s="120"/>
      <c r="K42" s="120"/>
      <c r="L42" s="119" t="s">
        <v>0</v>
      </c>
      <c r="M42" s="11" t="s">
        <v>128</v>
      </c>
      <c r="N42" s="119">
        <v>2.3207146087973261</v>
      </c>
      <c r="O42" s="119"/>
      <c r="P42" s="119" t="s">
        <v>128</v>
      </c>
      <c r="Q42" s="119">
        <v>132.9671525384407</v>
      </c>
      <c r="R42" t="s">
        <v>49</v>
      </c>
      <c r="T42" s="9" t="s">
        <v>442</v>
      </c>
      <c r="U42" s="9" t="b">
        <v>1</v>
      </c>
      <c r="Z42" s="9" t="s">
        <v>443</v>
      </c>
      <c r="AA42" s="9" t="b">
        <v>1</v>
      </c>
    </row>
    <row r="43" spans="1:27" ht="6" customHeight="1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</row>
    <row r="44" spans="1:27">
      <c r="A44" s="3" t="s">
        <v>26</v>
      </c>
    </row>
    <row r="45" spans="1:27">
      <c r="B45" s="802" t="s">
        <v>7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8"/>
      <c r="P45" s="88"/>
      <c r="V45" s="667" t="s">
        <v>426</v>
      </c>
      <c r="X45" s="42" t="s">
        <v>26</v>
      </c>
    </row>
    <row r="46" spans="1:27">
      <c r="B46" s="104" t="s">
        <v>0</v>
      </c>
      <c r="C46" s="355">
        <v>133</v>
      </c>
      <c r="D46" s="60" t="s">
        <v>49</v>
      </c>
      <c r="E46" s="668">
        <v>55.1</v>
      </c>
      <c r="F46" s="56" t="s">
        <v>50</v>
      </c>
      <c r="G46" s="56" t="s">
        <v>128</v>
      </c>
      <c r="H46" s="123">
        <v>2.3373158454499392</v>
      </c>
      <c r="I46" s="124" t="s">
        <v>21</v>
      </c>
      <c r="K46" s="104" t="s">
        <v>3</v>
      </c>
      <c r="L46" s="64">
        <v>129</v>
      </c>
      <c r="M46" s="60" t="s">
        <v>49</v>
      </c>
      <c r="N46" s="123">
        <v>35.731010344298966</v>
      </c>
      <c r="O46" s="56" t="s">
        <v>50</v>
      </c>
      <c r="P46" s="56" t="s">
        <v>128</v>
      </c>
      <c r="Q46" s="123">
        <v>2.2618684646655547</v>
      </c>
      <c r="R46" s="124" t="s">
        <v>21</v>
      </c>
    </row>
    <row r="47" spans="1:27">
      <c r="B47" s="104" t="s">
        <v>1</v>
      </c>
      <c r="C47" s="64">
        <v>111</v>
      </c>
      <c r="D47" s="60" t="s">
        <v>49</v>
      </c>
      <c r="E47" s="123">
        <v>55.49548932823285</v>
      </c>
      <c r="F47" s="56" t="s">
        <v>50</v>
      </c>
      <c r="G47" s="56" t="s">
        <v>128</v>
      </c>
      <c r="H47" s="123">
        <v>1.9534584531934231</v>
      </c>
      <c r="I47" s="124" t="s">
        <v>21</v>
      </c>
      <c r="K47" s="104" t="s">
        <v>4</v>
      </c>
      <c r="L47" s="64">
        <v>97</v>
      </c>
      <c r="M47" s="60" t="s">
        <v>49</v>
      </c>
      <c r="N47" s="123">
        <v>5.0094282141370172</v>
      </c>
      <c r="O47" s="56" t="s">
        <v>50</v>
      </c>
      <c r="P47" s="56" t="s">
        <v>128</v>
      </c>
      <c r="Q47" s="123">
        <v>1.6944265580341495</v>
      </c>
      <c r="R47" s="124" t="s">
        <v>21</v>
      </c>
      <c r="T47" s="9" t="s">
        <v>427</v>
      </c>
      <c r="U47" s="9" t="b">
        <v>1</v>
      </c>
      <c r="W47" s="9" t="s">
        <v>428</v>
      </c>
      <c r="X47" s="9" t="b">
        <v>1</v>
      </c>
      <c r="Z47" s="9" t="s">
        <v>429</v>
      </c>
      <c r="AA47" s="10" t="b">
        <v>1</v>
      </c>
    </row>
    <row r="48" spans="1:27">
      <c r="B48" s="104" t="s">
        <v>2</v>
      </c>
      <c r="C48" s="64">
        <v>114</v>
      </c>
      <c r="D48" s="60" t="s">
        <v>49</v>
      </c>
      <c r="E48" s="123">
        <v>58.513484217646976</v>
      </c>
      <c r="F48" s="56" t="s">
        <v>50</v>
      </c>
      <c r="G48" s="56" t="s">
        <v>128</v>
      </c>
      <c r="H48" s="123">
        <v>2.0066962298803972</v>
      </c>
      <c r="I48" s="124" t="s">
        <v>21</v>
      </c>
      <c r="K48" s="104" t="s">
        <v>5</v>
      </c>
      <c r="L48" s="64">
        <v>104</v>
      </c>
      <c r="M48" s="60" t="s">
        <v>49</v>
      </c>
      <c r="N48" s="123">
        <v>8.3287117070557315</v>
      </c>
      <c r="O48" s="56" t="s">
        <v>50</v>
      </c>
      <c r="P48" s="56" t="s">
        <v>128</v>
      </c>
      <c r="Q48" s="123">
        <v>1.8175651461030613</v>
      </c>
      <c r="R48" s="124" t="s">
        <v>21</v>
      </c>
      <c r="T48" s="9" t="s">
        <v>430</v>
      </c>
      <c r="U48" s="9" t="b">
        <v>1</v>
      </c>
      <c r="W48" s="9" t="s">
        <v>431</v>
      </c>
      <c r="X48" s="9" t="b">
        <v>1</v>
      </c>
      <c r="Z48" s="9" t="s">
        <v>432</v>
      </c>
      <c r="AA48" s="10" t="b">
        <v>1</v>
      </c>
    </row>
    <row r="49" spans="1:27">
      <c r="T49" s="9" t="s">
        <v>433</v>
      </c>
      <c r="U49" s="9" t="b">
        <v>1</v>
      </c>
      <c r="W49" s="9" t="s">
        <v>434</v>
      </c>
      <c r="X49" s="9" t="b">
        <v>1</v>
      </c>
      <c r="Z49" s="9" t="s">
        <v>435</v>
      </c>
      <c r="AA49" s="10" t="b">
        <v>1</v>
      </c>
    </row>
    <row r="50" spans="1:27">
      <c r="C50" s="119" t="s">
        <v>8</v>
      </c>
      <c r="D50" s="120" t="s">
        <v>128</v>
      </c>
      <c r="E50" s="119">
        <v>-2.3053337730044965</v>
      </c>
      <c r="F50" s="120"/>
      <c r="G50" s="120"/>
      <c r="H50" s="119" t="s">
        <v>11</v>
      </c>
      <c r="I50" s="119">
        <v>-1.1615153120528829</v>
      </c>
      <c r="J50" s="120"/>
      <c r="K50" s="120"/>
      <c r="L50" s="119" t="s">
        <v>1</v>
      </c>
      <c r="M50" s="11" t="s">
        <v>128</v>
      </c>
      <c r="N50" s="119">
        <v>1.9534584531934231</v>
      </c>
      <c r="O50" s="119"/>
      <c r="P50" s="119" t="s">
        <v>128</v>
      </c>
      <c r="Q50" s="182">
        <v>111.92492482213721</v>
      </c>
      <c r="R50" t="s">
        <v>49</v>
      </c>
      <c r="T50" s="9" t="s">
        <v>436</v>
      </c>
      <c r="U50" s="9" t="b">
        <v>1</v>
      </c>
      <c r="W50" s="9" t="s">
        <v>437</v>
      </c>
      <c r="X50" s="9" t="b">
        <v>1</v>
      </c>
      <c r="Z50" s="9" t="s">
        <v>438</v>
      </c>
      <c r="AA50" s="9" t="b">
        <v>1</v>
      </c>
    </row>
    <row r="51" spans="1:27">
      <c r="C51" s="119" t="s">
        <v>9</v>
      </c>
      <c r="D51" s="120" t="s">
        <v>128</v>
      </c>
      <c r="E51" s="119">
        <v>-2.6625177198713885E-2</v>
      </c>
      <c r="F51" s="120"/>
      <c r="G51" s="120"/>
      <c r="H51" s="119" t="s">
        <v>12</v>
      </c>
      <c r="I51" s="119">
        <v>-2.6618888343486944E-2</v>
      </c>
      <c r="J51" s="120"/>
      <c r="K51" s="120"/>
      <c r="L51" s="119" t="s">
        <v>2</v>
      </c>
      <c r="M51" s="11" t="s">
        <v>128</v>
      </c>
      <c r="N51" s="119">
        <v>2.0066962298803972</v>
      </c>
      <c r="O51" s="119"/>
      <c r="P51" s="119" t="s">
        <v>128</v>
      </c>
      <c r="Q51" s="182">
        <v>114.97522473696078</v>
      </c>
      <c r="R51" t="s">
        <v>49</v>
      </c>
      <c r="T51" s="9" t="s">
        <v>439</v>
      </c>
      <c r="U51" s="9" t="b">
        <v>1</v>
      </c>
      <c r="W51" s="9" t="s">
        <v>440</v>
      </c>
      <c r="X51" s="9" t="b">
        <v>1</v>
      </c>
      <c r="Z51" s="9" t="s">
        <v>441</v>
      </c>
      <c r="AA51" s="9" t="b">
        <v>1</v>
      </c>
    </row>
    <row r="52" spans="1:27">
      <c r="C52" s="119" t="s">
        <v>10</v>
      </c>
      <c r="D52" s="120" t="s">
        <v>128</v>
      </c>
      <c r="E52" s="119">
        <v>-0.63736369828060424</v>
      </c>
      <c r="F52" s="120"/>
      <c r="G52" s="120"/>
      <c r="H52" s="120"/>
      <c r="I52" s="120"/>
      <c r="J52" s="120"/>
      <c r="K52" s="120"/>
      <c r="L52" s="119" t="s">
        <v>3</v>
      </c>
      <c r="M52" s="11" t="s">
        <v>128</v>
      </c>
      <c r="N52" s="119">
        <v>2.2618684646655547</v>
      </c>
      <c r="O52" s="119"/>
      <c r="P52" s="119" t="s">
        <v>128</v>
      </c>
      <c r="Q52" s="182">
        <v>129.59551683907165</v>
      </c>
      <c r="R52" t="s">
        <v>49</v>
      </c>
      <c r="T52" s="9" t="s">
        <v>442</v>
      </c>
      <c r="U52" s="9" t="b">
        <v>1</v>
      </c>
      <c r="Z52" s="9" t="s">
        <v>443</v>
      </c>
      <c r="AA52" s="9" t="b">
        <v>1</v>
      </c>
    </row>
    <row r="53" spans="1:27"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</row>
    <row r="55" spans="1:27">
      <c r="A55" s="3" t="s">
        <v>27</v>
      </c>
      <c r="H55" s="69" t="s">
        <v>285</v>
      </c>
    </row>
    <row r="56" spans="1:27">
      <c r="A56" s="3"/>
      <c r="V56" s="667" t="s">
        <v>426</v>
      </c>
      <c r="X56" s="42" t="s">
        <v>27</v>
      </c>
    </row>
    <row r="57" spans="1:27">
      <c r="B57" s="104" t="s">
        <v>0</v>
      </c>
      <c r="C57" s="408">
        <v>90</v>
      </c>
      <c r="D57" s="60" t="s">
        <v>49</v>
      </c>
      <c r="E57" s="670">
        <v>0</v>
      </c>
      <c r="F57" s="638" t="s">
        <v>50</v>
      </c>
      <c r="G57" s="27" t="s">
        <v>128</v>
      </c>
      <c r="H57" s="182">
        <v>1.5707963267948966</v>
      </c>
      <c r="I57" s="124" t="s">
        <v>21</v>
      </c>
      <c r="K57" s="104" t="s">
        <v>3</v>
      </c>
      <c r="L57" s="407">
        <v>89</v>
      </c>
      <c r="M57" s="60" t="s">
        <v>49</v>
      </c>
      <c r="N57" s="281">
        <v>41.464492395851096</v>
      </c>
      <c r="O57" s="111" t="s">
        <v>50</v>
      </c>
      <c r="P57" s="88" t="s">
        <v>128</v>
      </c>
      <c r="Q57" s="182">
        <v>1.5654045661912157</v>
      </c>
      <c r="R57" s="124" t="s">
        <v>21</v>
      </c>
    </row>
    <row r="58" spans="1:27">
      <c r="B58" s="104" t="s">
        <v>1</v>
      </c>
      <c r="C58" s="407">
        <v>74</v>
      </c>
      <c r="D58" s="60" t="s">
        <v>49</v>
      </c>
      <c r="E58" s="123">
        <v>36.765436906489128</v>
      </c>
      <c r="F58" s="620" t="s">
        <v>50</v>
      </c>
      <c r="G58" s="27" t="s">
        <v>128</v>
      </c>
      <c r="H58" s="182">
        <v>1.3022382785583451</v>
      </c>
      <c r="I58" s="124" t="s">
        <v>21</v>
      </c>
      <c r="K58" s="104" t="s">
        <v>4</v>
      </c>
      <c r="L58" s="408">
        <v>74</v>
      </c>
      <c r="M58" s="60" t="s">
        <v>49</v>
      </c>
      <c r="N58" s="671">
        <v>36.583883705908704</v>
      </c>
      <c r="O58" s="111" t="s">
        <v>50</v>
      </c>
      <c r="P58" t="s">
        <v>128</v>
      </c>
      <c r="Q58" s="182">
        <v>1.3021854668730506</v>
      </c>
      <c r="R58" s="124" t="s">
        <v>21</v>
      </c>
      <c r="T58" s="9" t="s">
        <v>427</v>
      </c>
      <c r="U58" s="9" t="b">
        <v>1</v>
      </c>
      <c r="W58" s="9" t="s">
        <v>428</v>
      </c>
      <c r="X58" s="9" t="b">
        <v>1</v>
      </c>
      <c r="Z58" s="9" t="s">
        <v>429</v>
      </c>
      <c r="AA58" s="10" t="b">
        <v>1</v>
      </c>
    </row>
    <row r="59" spans="1:27">
      <c r="B59" s="104" t="s">
        <v>2</v>
      </c>
      <c r="C59" s="637">
        <v>88</v>
      </c>
      <c r="D59" s="31" t="s">
        <v>49</v>
      </c>
      <c r="E59" s="672">
        <v>52.657635063908117</v>
      </c>
      <c r="F59" s="618" t="s">
        <v>50</v>
      </c>
      <c r="G59" s="27" t="s">
        <v>128</v>
      </c>
      <c r="H59" s="182">
        <v>1.5512072268913235</v>
      </c>
      <c r="I59" s="124" t="s">
        <v>21</v>
      </c>
      <c r="K59" s="104" t="s">
        <v>5</v>
      </c>
      <c r="L59" s="408">
        <v>88</v>
      </c>
      <c r="M59" s="60" t="s">
        <v>49</v>
      </c>
      <c r="N59" s="671">
        <v>50.153631372915015</v>
      </c>
      <c r="O59" s="111" t="s">
        <v>50</v>
      </c>
      <c r="P59" t="s">
        <v>128</v>
      </c>
      <c r="Q59" s="182">
        <v>1.5504788417431581</v>
      </c>
      <c r="R59" s="124" t="s">
        <v>21</v>
      </c>
      <c r="T59" s="9" t="s">
        <v>430</v>
      </c>
      <c r="U59" s="9" t="b">
        <v>1</v>
      </c>
      <c r="W59" s="9" t="s">
        <v>431</v>
      </c>
      <c r="X59" s="9" t="b">
        <v>1</v>
      </c>
      <c r="Z59" s="9" t="s">
        <v>432</v>
      </c>
      <c r="AA59" s="10" t="b">
        <v>1</v>
      </c>
    </row>
    <row r="60" spans="1:27">
      <c r="T60" s="9" t="s">
        <v>433</v>
      </c>
      <c r="U60" s="9" t="b">
        <v>1</v>
      </c>
      <c r="W60" s="9" t="s">
        <v>434</v>
      </c>
      <c r="X60" s="9" t="b">
        <v>1</v>
      </c>
      <c r="Z60" s="9" t="s">
        <v>435</v>
      </c>
      <c r="AA60" s="10" t="b">
        <v>1</v>
      </c>
    </row>
    <row r="61" spans="1:27">
      <c r="T61" s="9" t="s">
        <v>436</v>
      </c>
      <c r="U61" s="9" t="b">
        <v>1</v>
      </c>
      <c r="W61" s="9" t="s">
        <v>437</v>
      </c>
      <c r="X61" s="9" t="b">
        <v>1</v>
      </c>
      <c r="Z61" s="9" t="s">
        <v>438</v>
      </c>
      <c r="AA61" s="9" t="b">
        <v>1</v>
      </c>
    </row>
    <row r="62" spans="1:27">
      <c r="T62" s="9" t="s">
        <v>439</v>
      </c>
      <c r="U62" s="9" t="b">
        <v>1</v>
      </c>
      <c r="W62" s="9" t="s">
        <v>440</v>
      </c>
      <c r="X62" s="9" t="b">
        <v>1</v>
      </c>
      <c r="Z62" s="9" t="s">
        <v>441</v>
      </c>
      <c r="AA62" s="9" t="b">
        <v>1</v>
      </c>
    </row>
    <row r="63" spans="1:27">
      <c r="T63" s="9" t="s">
        <v>442</v>
      </c>
      <c r="U63" s="9" t="b">
        <v>1</v>
      </c>
      <c r="Z63" s="9" t="s">
        <v>443</v>
      </c>
      <c r="AA63" s="9" t="b">
        <v>1</v>
      </c>
    </row>
    <row r="65" spans="1:27">
      <c r="A65" s="3" t="s">
        <v>228</v>
      </c>
      <c r="AA65" s="28"/>
    </row>
    <row r="66" spans="1:27">
      <c r="A66" s="3"/>
    </row>
    <row r="67" spans="1:27">
      <c r="V67" s="667" t="s">
        <v>426</v>
      </c>
      <c r="X67" s="42" t="s">
        <v>228</v>
      </c>
    </row>
    <row r="68" spans="1:27">
      <c r="B68" s="104" t="s">
        <v>0</v>
      </c>
      <c r="C68" s="64">
        <v>89</v>
      </c>
      <c r="D68" s="60" t="s">
        <v>49</v>
      </c>
      <c r="E68" s="281">
        <v>0.93235154077433435</v>
      </c>
      <c r="F68" s="111" t="s">
        <v>50</v>
      </c>
      <c r="G68" s="27" t="s">
        <v>128</v>
      </c>
      <c r="H68" s="182">
        <v>1.553614244344496</v>
      </c>
      <c r="I68" s="124" t="s">
        <v>21</v>
      </c>
      <c r="K68" s="104" t="s">
        <v>3</v>
      </c>
      <c r="L68" s="408">
        <v>90</v>
      </c>
      <c r="M68" s="60" t="s">
        <v>49</v>
      </c>
      <c r="N68" s="671">
        <v>0</v>
      </c>
      <c r="O68" s="111" t="s">
        <v>50</v>
      </c>
      <c r="P68" s="27" t="s">
        <v>128</v>
      </c>
      <c r="Q68" s="182">
        <v>1.5707963267948966</v>
      </c>
      <c r="R68" s="124" t="s">
        <v>21</v>
      </c>
    </row>
    <row r="69" spans="1:27">
      <c r="B69" s="104" t="s">
        <v>1</v>
      </c>
      <c r="C69" s="408">
        <v>83</v>
      </c>
      <c r="D69" s="60" t="s">
        <v>49</v>
      </c>
      <c r="E69" s="671">
        <v>15.446000744704236</v>
      </c>
      <c r="F69" s="111" t="s">
        <v>50</v>
      </c>
      <c r="G69" s="27" t="s">
        <v>128</v>
      </c>
      <c r="H69" s="182">
        <v>1.45311633864297</v>
      </c>
      <c r="I69" s="124" t="s">
        <v>21</v>
      </c>
      <c r="K69" s="104" t="s">
        <v>4</v>
      </c>
      <c r="L69" s="64">
        <v>83</v>
      </c>
      <c r="M69" s="60" t="s">
        <v>49</v>
      </c>
      <c r="N69" s="281">
        <v>19.761658709446124</v>
      </c>
      <c r="O69" s="111" t="s">
        <v>50</v>
      </c>
      <c r="P69" s="27" t="s">
        <v>128</v>
      </c>
      <c r="Q69" s="182">
        <v>1.4543717126575477</v>
      </c>
      <c r="R69" s="124" t="s">
        <v>21</v>
      </c>
      <c r="T69" s="9" t="s">
        <v>427</v>
      </c>
      <c r="U69" s="9" t="b">
        <v>1</v>
      </c>
      <c r="W69" s="9" t="s">
        <v>428</v>
      </c>
      <c r="X69" s="9" t="b">
        <v>1</v>
      </c>
      <c r="Z69" s="9" t="s">
        <v>429</v>
      </c>
      <c r="AA69" s="10" t="b">
        <v>1</v>
      </c>
    </row>
    <row r="70" spans="1:27">
      <c r="B70" s="104" t="s">
        <v>2</v>
      </c>
      <c r="C70" s="408">
        <v>98</v>
      </c>
      <c r="D70" s="60" t="s">
        <v>49</v>
      </c>
      <c r="E70" s="671">
        <v>24.88318614784788</v>
      </c>
      <c r="F70" s="111" t="s">
        <v>50</v>
      </c>
      <c r="G70" s="27" t="s">
        <v>128</v>
      </c>
      <c r="H70" s="182">
        <v>1.7176608923988861</v>
      </c>
      <c r="I70" s="124" t="s">
        <v>21</v>
      </c>
      <c r="K70" s="104" t="s">
        <v>5</v>
      </c>
      <c r="L70" s="64">
        <v>98</v>
      </c>
      <c r="M70" s="60" t="s">
        <v>49</v>
      </c>
      <c r="N70" s="281">
        <v>21.440748439384265</v>
      </c>
      <c r="O70" s="111" t="s">
        <v>50</v>
      </c>
      <c r="P70" s="27" t="s">
        <v>128</v>
      </c>
      <c r="Q70" s="182">
        <v>1.7166595278604277</v>
      </c>
      <c r="R70" s="124" t="s">
        <v>21</v>
      </c>
      <c r="T70" s="9" t="s">
        <v>430</v>
      </c>
      <c r="U70" s="9" t="b">
        <v>1</v>
      </c>
      <c r="W70" s="9" t="s">
        <v>431</v>
      </c>
      <c r="X70" s="9" t="b">
        <v>1</v>
      </c>
      <c r="Z70" s="9" t="s">
        <v>432</v>
      </c>
      <c r="AA70" s="10" t="b">
        <v>1</v>
      </c>
    </row>
    <row r="71" spans="1:27">
      <c r="T71" s="9" t="s">
        <v>433</v>
      </c>
      <c r="U71" s="9" t="b">
        <v>1</v>
      </c>
      <c r="W71" s="9" t="s">
        <v>434</v>
      </c>
      <c r="X71" s="9" t="b">
        <v>1</v>
      </c>
      <c r="Z71" s="9" t="s">
        <v>435</v>
      </c>
      <c r="AA71" s="10" t="b">
        <v>1</v>
      </c>
    </row>
    <row r="72" spans="1:27">
      <c r="T72" s="9" t="s">
        <v>436</v>
      </c>
      <c r="U72" s="9" t="b">
        <v>1</v>
      </c>
      <c r="W72" s="9" t="s">
        <v>437</v>
      </c>
      <c r="X72" s="9" t="b">
        <v>1</v>
      </c>
      <c r="Z72" s="9" t="s">
        <v>438</v>
      </c>
      <c r="AA72" s="9" t="b">
        <v>1</v>
      </c>
    </row>
    <row r="73" spans="1:27">
      <c r="T73" s="9" t="s">
        <v>439</v>
      </c>
      <c r="U73" s="9" t="b">
        <v>1</v>
      </c>
      <c r="W73" s="9" t="s">
        <v>440</v>
      </c>
      <c r="X73" s="9" t="b">
        <v>1</v>
      </c>
      <c r="Z73" s="9" t="s">
        <v>441</v>
      </c>
      <c r="AA73" s="9" t="b">
        <v>1</v>
      </c>
    </row>
    <row r="74" spans="1:27">
      <c r="T74" s="9" t="s">
        <v>442</v>
      </c>
      <c r="U74" s="9" t="b">
        <v>1</v>
      </c>
      <c r="Z74" s="9" t="s">
        <v>443</v>
      </c>
      <c r="AA74" s="9" t="b">
        <v>1</v>
      </c>
    </row>
  </sheetData>
  <mergeCells count="8">
    <mergeCell ref="B45:N45"/>
    <mergeCell ref="B5:N5"/>
    <mergeCell ref="A1:I1"/>
    <mergeCell ref="B15:N15"/>
    <mergeCell ref="B25:N25"/>
    <mergeCell ref="B35:N35"/>
    <mergeCell ref="A2:R2"/>
    <mergeCell ref="K1:L1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2"/>
  <sheetViews>
    <sheetView zoomScaleNormal="100" workbookViewId="0">
      <selection activeCell="AD21" sqref="AD21"/>
    </sheetView>
  </sheetViews>
  <sheetFormatPr defaultRowHeight="15"/>
  <cols>
    <col min="2" max="2" width="2.42578125" bestFit="1" customWidth="1"/>
    <col min="4" max="4" width="6" customWidth="1"/>
    <col min="5" max="5" width="2.5703125" bestFit="1" customWidth="1"/>
    <col min="6" max="6" width="6.7109375" customWidth="1"/>
    <col min="7" max="7" width="2.28515625" bestFit="1" customWidth="1"/>
    <col min="8" max="8" width="3" bestFit="1" customWidth="1"/>
    <col min="9" max="9" width="12.7109375" hidden="1" customWidth="1"/>
    <col min="10" max="10" width="3" customWidth="1"/>
    <col min="11" max="11" width="3.140625" bestFit="1" customWidth="1"/>
    <col min="12" max="12" width="4" bestFit="1" customWidth="1"/>
    <col min="13" max="13" width="1.7109375" bestFit="1" customWidth="1"/>
    <col min="14" max="14" width="5" bestFit="1" customWidth="1"/>
    <col min="15" max="15" width="2.28515625" style="6" bestFit="1" customWidth="1"/>
    <col min="16" max="16" width="2.7109375" customWidth="1"/>
    <col min="17" max="17" width="7.42578125" style="1" bestFit="1" customWidth="1"/>
    <col min="18" max="18" width="7.42578125" bestFit="1" customWidth="1"/>
    <col min="19" max="19" width="3.5703125" customWidth="1"/>
    <col min="20" max="20" width="1.7109375" bestFit="1" customWidth="1"/>
    <col min="21" max="21" width="5" bestFit="1" customWidth="1"/>
    <col min="22" max="22" width="2.28515625" style="6" bestFit="1" customWidth="1"/>
    <col min="23" max="23" width="2.42578125" bestFit="1" customWidth="1"/>
    <col min="24" max="24" width="5.140625" style="1" bestFit="1" customWidth="1"/>
    <col min="25" max="25" width="8.5703125" customWidth="1"/>
    <col min="26" max="26" width="8.28515625" style="1" bestFit="1" customWidth="1"/>
    <col min="27" max="27" width="8.140625" customWidth="1"/>
    <col min="28" max="28" width="9.140625" hidden="1" customWidth="1"/>
    <col min="29" max="29" width="9.28515625" bestFit="1" customWidth="1"/>
    <col min="30" max="30" width="11" style="8" bestFit="1" customWidth="1"/>
  </cols>
  <sheetData>
    <row r="1" spans="1:30">
      <c r="A1" s="834" t="s">
        <v>195</v>
      </c>
      <c r="B1" s="834"/>
      <c r="C1" s="834"/>
      <c r="D1" s="834"/>
      <c r="E1" s="834"/>
      <c r="F1" s="834"/>
      <c r="G1" s="834"/>
      <c r="H1" s="834"/>
      <c r="I1" s="62"/>
      <c r="K1" s="174">
        <v>70</v>
      </c>
      <c r="L1" s="62"/>
      <c r="M1" s="62"/>
      <c r="N1" s="62"/>
      <c r="O1" s="160"/>
      <c r="P1" s="62"/>
      <c r="Q1" s="138"/>
      <c r="R1" s="62"/>
      <c r="S1" s="62"/>
      <c r="T1" s="62"/>
      <c r="U1" s="62"/>
      <c r="V1" s="160"/>
      <c r="W1" s="62"/>
      <c r="X1" s="138"/>
      <c r="Y1" s="62"/>
      <c r="Z1" s="138"/>
      <c r="AA1" s="62"/>
      <c r="AB1" s="62"/>
      <c r="AC1" s="62"/>
      <c r="AD1" s="175"/>
    </row>
    <row r="2" spans="1:30">
      <c r="A2" s="835" t="s">
        <v>414</v>
      </c>
      <c r="B2" s="835"/>
      <c r="C2" s="835"/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835"/>
      <c r="AD2" s="835"/>
    </row>
    <row r="3" spans="1:30" ht="15.75" thickBo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 spans="1:30" ht="18.75" customHeight="1" thickBot="1">
      <c r="A4" s="841" t="s">
        <v>28</v>
      </c>
      <c r="B4" s="842"/>
      <c r="C4" s="410" t="s">
        <v>63</v>
      </c>
      <c r="D4" s="415">
        <v>41</v>
      </c>
      <c r="E4" s="416" t="s">
        <v>49</v>
      </c>
      <c r="F4" s="417">
        <v>34.9</v>
      </c>
      <c r="G4" s="418" t="s">
        <v>181</v>
      </c>
      <c r="H4" s="419" t="s">
        <v>6</v>
      </c>
      <c r="I4" s="62">
        <v>-0.72573699180010875</v>
      </c>
      <c r="J4" s="62"/>
      <c r="K4" s="128" t="s">
        <v>41</v>
      </c>
      <c r="L4" s="838" t="s">
        <v>196</v>
      </c>
      <c r="M4" s="838"/>
      <c r="N4" s="838"/>
      <c r="O4" s="838"/>
      <c r="P4" s="839"/>
      <c r="Q4" s="129" t="s">
        <v>21</v>
      </c>
      <c r="R4" s="21" t="s">
        <v>197</v>
      </c>
      <c r="S4" s="831" t="s">
        <v>198</v>
      </c>
      <c r="T4" s="832"/>
      <c r="U4" s="832"/>
      <c r="V4" s="832"/>
      <c r="W4" s="840"/>
      <c r="X4" s="130" t="s">
        <v>21</v>
      </c>
      <c r="Y4" s="21" t="s">
        <v>199</v>
      </c>
      <c r="Z4" s="131" t="s">
        <v>200</v>
      </c>
      <c r="AA4" s="21" t="s">
        <v>201</v>
      </c>
      <c r="AB4" s="21" t="s">
        <v>232</v>
      </c>
      <c r="AC4" s="21" t="s">
        <v>202</v>
      </c>
      <c r="AD4" s="132" t="s">
        <v>203</v>
      </c>
    </row>
    <row r="5" spans="1:30" ht="18.75" customHeight="1">
      <c r="A5" s="843"/>
      <c r="B5" s="844"/>
      <c r="C5" s="216" t="s">
        <v>64</v>
      </c>
      <c r="D5" s="140">
        <v>176</v>
      </c>
      <c r="E5" s="136" t="s">
        <v>49</v>
      </c>
      <c r="F5" s="134">
        <v>19.3</v>
      </c>
      <c r="G5" s="414" t="s">
        <v>181</v>
      </c>
      <c r="H5" s="420" t="s">
        <v>61</v>
      </c>
      <c r="I5" s="62">
        <v>3.0773936259372681</v>
      </c>
      <c r="J5" s="62"/>
      <c r="K5" s="133">
        <v>0</v>
      </c>
      <c r="L5" s="134">
        <v>176</v>
      </c>
      <c r="M5" s="134" t="s">
        <v>49</v>
      </c>
      <c r="N5" s="135">
        <v>19.3</v>
      </c>
      <c r="O5" s="136" t="s">
        <v>50</v>
      </c>
      <c r="P5" s="137" t="s">
        <v>61</v>
      </c>
      <c r="Q5" s="138">
        <v>3.0773936259372681</v>
      </c>
      <c r="R5" s="139">
        <v>0</v>
      </c>
      <c r="S5" s="140">
        <v>41</v>
      </c>
      <c r="T5" s="134" t="s">
        <v>49</v>
      </c>
      <c r="U5" s="135">
        <v>34.9</v>
      </c>
      <c r="V5" s="136" t="s">
        <v>50</v>
      </c>
      <c r="W5" s="137" t="s">
        <v>6</v>
      </c>
      <c r="X5" s="141">
        <v>-0.72573699180010875</v>
      </c>
      <c r="Y5" s="382">
        <v>-10579.3</v>
      </c>
      <c r="Z5" s="382">
        <v>4891.0165312757144</v>
      </c>
      <c r="AA5" s="382">
        <v>-10578.208106568134</v>
      </c>
      <c r="AB5" s="382">
        <v>-1.1377055574933947</v>
      </c>
      <c r="AC5" s="383">
        <v>294.81427322705008</v>
      </c>
      <c r="AD5" s="385">
        <v>11654.206513318533</v>
      </c>
    </row>
    <row r="6" spans="1:30" ht="18.75" customHeight="1">
      <c r="A6" s="845" t="s">
        <v>29</v>
      </c>
      <c r="B6" s="846"/>
      <c r="C6" s="204" t="s">
        <v>63</v>
      </c>
      <c r="D6" s="411">
        <v>37</v>
      </c>
      <c r="E6" s="412" t="s">
        <v>49</v>
      </c>
      <c r="F6" s="206">
        <v>29.7</v>
      </c>
      <c r="G6" s="413" t="s">
        <v>181</v>
      </c>
      <c r="H6" s="421" t="s">
        <v>6</v>
      </c>
      <c r="I6" s="62">
        <v>-0.65441120303527378</v>
      </c>
      <c r="J6" s="199">
        <v>1</v>
      </c>
      <c r="K6" s="143" t="s">
        <v>233</v>
      </c>
      <c r="L6" s="166">
        <v>0</v>
      </c>
      <c r="M6" s="357" t="s">
        <v>49</v>
      </c>
      <c r="N6" s="358">
        <v>0</v>
      </c>
      <c r="O6" s="359" t="s">
        <v>50</v>
      </c>
      <c r="P6" s="360" t="s">
        <v>61</v>
      </c>
      <c r="Q6" s="361">
        <v>0</v>
      </c>
      <c r="R6" s="362">
        <v>-3.0773936259372681</v>
      </c>
      <c r="S6" s="363">
        <v>39</v>
      </c>
      <c r="T6" s="357" t="s">
        <v>49</v>
      </c>
      <c r="U6" s="358">
        <v>56.116531275714436</v>
      </c>
      <c r="V6" s="359" t="s">
        <v>50</v>
      </c>
      <c r="W6" s="360" t="s">
        <v>421</v>
      </c>
      <c r="X6" s="356">
        <v>0.69700204553711498</v>
      </c>
      <c r="Y6" s="384">
        <v>-10514.1</v>
      </c>
      <c r="Z6" s="384">
        <v>-4645.8165312757146</v>
      </c>
      <c r="AA6" s="384">
        <v>-10511.716044382352</v>
      </c>
      <c r="AB6" s="382">
        <v>1.1546438916598163</v>
      </c>
      <c r="AC6" s="383">
        <v>246.15622183266814</v>
      </c>
      <c r="AD6" s="386">
        <v>11492.596984145928</v>
      </c>
    </row>
    <row r="7" spans="1:30" ht="18.75" customHeight="1" thickBot="1">
      <c r="A7" s="847"/>
      <c r="B7" s="848"/>
      <c r="C7" s="406" t="s">
        <v>64</v>
      </c>
      <c r="D7" s="422">
        <v>175</v>
      </c>
      <c r="E7" s="152" t="s">
        <v>49</v>
      </c>
      <c r="F7" s="150">
        <v>14.1</v>
      </c>
      <c r="G7" s="423" t="s">
        <v>181</v>
      </c>
      <c r="H7" s="424" t="s">
        <v>422</v>
      </c>
      <c r="I7" s="62">
        <v>-3.0584277147322636</v>
      </c>
      <c r="J7" s="199">
        <v>2</v>
      </c>
      <c r="K7" s="143" t="s">
        <v>233</v>
      </c>
      <c r="L7" s="166" t="s">
        <v>233</v>
      </c>
      <c r="M7" s="357" t="s">
        <v>233</v>
      </c>
      <c r="N7" s="358" t="s">
        <v>233</v>
      </c>
      <c r="O7" s="359" t="s">
        <v>233</v>
      </c>
      <c r="P7" s="360" t="s">
        <v>233</v>
      </c>
      <c r="Q7" s="361" t="s">
        <v>233</v>
      </c>
      <c r="R7" s="362" t="s">
        <v>233</v>
      </c>
      <c r="S7" s="363" t="s">
        <v>233</v>
      </c>
      <c r="T7" s="357" t="s">
        <v>233</v>
      </c>
      <c r="U7" s="358" t="s">
        <v>233</v>
      </c>
      <c r="V7" s="359" t="s">
        <v>233</v>
      </c>
      <c r="W7" s="360" t="s">
        <v>233</v>
      </c>
      <c r="X7" s="356" t="s">
        <v>233</v>
      </c>
      <c r="Y7" s="384" t="s">
        <v>233</v>
      </c>
      <c r="Z7" s="384" t="s">
        <v>233</v>
      </c>
      <c r="AA7" s="384" t="s">
        <v>233</v>
      </c>
      <c r="AB7" s="382" t="s">
        <v>233</v>
      </c>
      <c r="AC7" s="383" t="s">
        <v>233</v>
      </c>
      <c r="AD7" s="386" t="s">
        <v>233</v>
      </c>
    </row>
    <row r="8" spans="1:30" ht="18.75" customHeight="1">
      <c r="A8" s="146"/>
      <c r="B8" s="146"/>
      <c r="C8" s="62"/>
      <c r="D8" s="62"/>
      <c r="E8" s="62"/>
      <c r="F8" s="62"/>
      <c r="G8" s="62"/>
      <c r="H8" s="62"/>
      <c r="I8" s="62"/>
      <c r="J8" s="199">
        <v>3</v>
      </c>
      <c r="K8" s="143" t="s">
        <v>233</v>
      </c>
      <c r="L8" s="166" t="s">
        <v>233</v>
      </c>
      <c r="M8" s="357" t="s">
        <v>233</v>
      </c>
      <c r="N8" s="358" t="s">
        <v>233</v>
      </c>
      <c r="O8" s="359" t="s">
        <v>233</v>
      </c>
      <c r="P8" s="360" t="s">
        <v>233</v>
      </c>
      <c r="Q8" s="361" t="s">
        <v>233</v>
      </c>
      <c r="R8" s="362" t="s">
        <v>233</v>
      </c>
      <c r="S8" s="363" t="s">
        <v>233</v>
      </c>
      <c r="T8" s="357" t="s">
        <v>233</v>
      </c>
      <c r="U8" s="358" t="s">
        <v>233</v>
      </c>
      <c r="V8" s="359" t="s">
        <v>233</v>
      </c>
      <c r="W8" s="360" t="s">
        <v>233</v>
      </c>
      <c r="X8" s="356" t="s">
        <v>233</v>
      </c>
      <c r="Y8" s="384" t="s">
        <v>233</v>
      </c>
      <c r="Z8" s="384" t="s">
        <v>233</v>
      </c>
      <c r="AA8" s="384" t="s">
        <v>233</v>
      </c>
      <c r="AB8" s="382" t="s">
        <v>233</v>
      </c>
      <c r="AC8" s="383" t="s">
        <v>233</v>
      </c>
      <c r="AD8" s="386" t="s">
        <v>233</v>
      </c>
    </row>
    <row r="9" spans="1:30" ht="18.75" customHeight="1">
      <c r="A9" s="203" t="s">
        <v>78</v>
      </c>
      <c r="B9" s="219" t="s">
        <v>128</v>
      </c>
      <c r="C9" s="205">
        <v>-4.6990601263886891E-2</v>
      </c>
      <c r="D9" s="206"/>
      <c r="E9" s="206"/>
      <c r="F9" s="206"/>
      <c r="G9" s="206"/>
      <c r="H9" s="226"/>
      <c r="I9" s="62"/>
      <c r="J9" s="199">
        <v>4</v>
      </c>
      <c r="K9" s="143" t="s">
        <v>233</v>
      </c>
      <c r="L9" s="166" t="s">
        <v>233</v>
      </c>
      <c r="M9" s="357" t="s">
        <v>233</v>
      </c>
      <c r="N9" s="358" t="s">
        <v>233</v>
      </c>
      <c r="O9" s="359" t="s">
        <v>233</v>
      </c>
      <c r="P9" s="360" t="s">
        <v>233</v>
      </c>
      <c r="Q9" s="361" t="s">
        <v>233</v>
      </c>
      <c r="R9" s="362" t="s">
        <v>233</v>
      </c>
      <c r="S9" s="363" t="s">
        <v>233</v>
      </c>
      <c r="T9" s="357" t="s">
        <v>233</v>
      </c>
      <c r="U9" s="358" t="s">
        <v>233</v>
      </c>
      <c r="V9" s="359" t="s">
        <v>233</v>
      </c>
      <c r="W9" s="360" t="s">
        <v>233</v>
      </c>
      <c r="X9" s="356" t="s">
        <v>233</v>
      </c>
      <c r="Y9" s="384" t="s">
        <v>233</v>
      </c>
      <c r="Z9" s="384" t="s">
        <v>233</v>
      </c>
      <c r="AA9" s="384" t="s">
        <v>233</v>
      </c>
      <c r="AB9" s="382" t="s">
        <v>233</v>
      </c>
      <c r="AC9" s="383" t="s">
        <v>233</v>
      </c>
      <c r="AD9" s="386" t="s">
        <v>233</v>
      </c>
    </row>
    <row r="10" spans="1:30" ht="18.75" customHeight="1">
      <c r="A10" s="208" t="s">
        <v>65</v>
      </c>
      <c r="B10" s="194" t="s">
        <v>128</v>
      </c>
      <c r="C10" s="195">
        <v>-4.6956060105884094E-2</v>
      </c>
      <c r="D10" s="70" t="s">
        <v>21</v>
      </c>
      <c r="E10" s="70" t="s">
        <v>128</v>
      </c>
      <c r="F10" s="138">
        <v>-2.6903840666297758</v>
      </c>
      <c r="G10" s="160" t="s">
        <v>49</v>
      </c>
      <c r="H10" s="209"/>
      <c r="I10" s="62"/>
      <c r="J10" s="199">
        <v>5</v>
      </c>
      <c r="K10" s="143" t="s">
        <v>233</v>
      </c>
      <c r="L10" s="166" t="s">
        <v>233</v>
      </c>
      <c r="M10" s="357" t="s">
        <v>233</v>
      </c>
      <c r="N10" s="358" t="s">
        <v>233</v>
      </c>
      <c r="O10" s="359" t="s">
        <v>233</v>
      </c>
      <c r="P10" s="360" t="s">
        <v>233</v>
      </c>
      <c r="Q10" s="361" t="s">
        <v>233</v>
      </c>
      <c r="R10" s="362" t="s">
        <v>233</v>
      </c>
      <c r="S10" s="363" t="s">
        <v>233</v>
      </c>
      <c r="T10" s="357" t="s">
        <v>233</v>
      </c>
      <c r="U10" s="358" t="s">
        <v>233</v>
      </c>
      <c r="V10" s="359" t="s">
        <v>233</v>
      </c>
      <c r="W10" s="360" t="s">
        <v>233</v>
      </c>
      <c r="X10" s="356" t="s">
        <v>233</v>
      </c>
      <c r="Y10" s="384" t="s">
        <v>233</v>
      </c>
      <c r="Z10" s="384" t="s">
        <v>233</v>
      </c>
      <c r="AA10" s="384" t="s">
        <v>233</v>
      </c>
      <c r="AB10" s="382" t="s">
        <v>233</v>
      </c>
      <c r="AC10" s="383" t="s">
        <v>233</v>
      </c>
      <c r="AD10" s="386" t="s">
        <v>233</v>
      </c>
    </row>
    <row r="11" spans="1:30" ht="18.75" customHeight="1">
      <c r="A11" s="210" t="s">
        <v>80</v>
      </c>
      <c r="B11" s="196" t="s">
        <v>128</v>
      </c>
      <c r="C11" s="195">
        <v>3.6190832129876851E-2</v>
      </c>
      <c r="D11" s="62" t="s">
        <v>66</v>
      </c>
      <c r="E11" s="70"/>
      <c r="F11" s="62"/>
      <c r="G11" s="62"/>
      <c r="H11" s="209"/>
      <c r="I11" s="62"/>
      <c r="J11" s="199">
        <v>6</v>
      </c>
      <c r="K11" s="143" t="s">
        <v>233</v>
      </c>
      <c r="L11" s="166" t="s">
        <v>233</v>
      </c>
      <c r="M11" s="357" t="s">
        <v>233</v>
      </c>
      <c r="N11" s="358" t="s">
        <v>233</v>
      </c>
      <c r="O11" s="359" t="s">
        <v>233</v>
      </c>
      <c r="P11" s="360" t="s">
        <v>233</v>
      </c>
      <c r="Q11" s="361" t="s">
        <v>233</v>
      </c>
      <c r="R11" s="362" t="s">
        <v>233</v>
      </c>
      <c r="S11" s="363" t="s">
        <v>233</v>
      </c>
      <c r="T11" s="357" t="s">
        <v>233</v>
      </c>
      <c r="U11" s="358" t="s">
        <v>233</v>
      </c>
      <c r="V11" s="359" t="s">
        <v>233</v>
      </c>
      <c r="W11" s="360" t="s">
        <v>233</v>
      </c>
      <c r="X11" s="356" t="s">
        <v>233</v>
      </c>
      <c r="Y11" s="384" t="s">
        <v>233</v>
      </c>
      <c r="Z11" s="384" t="s">
        <v>233</v>
      </c>
      <c r="AA11" s="384" t="s">
        <v>233</v>
      </c>
      <c r="AB11" s="382" t="s">
        <v>233</v>
      </c>
      <c r="AC11" s="383" t="s">
        <v>233</v>
      </c>
      <c r="AD11" s="386" t="s">
        <v>233</v>
      </c>
    </row>
    <row r="12" spans="1:30" ht="18.75" customHeight="1">
      <c r="A12" s="211"/>
      <c r="B12" s="146"/>
      <c r="C12" s="62"/>
      <c r="D12" s="62"/>
      <c r="E12" s="62"/>
      <c r="F12" s="62"/>
      <c r="G12" s="62"/>
      <c r="H12" s="209"/>
      <c r="I12" s="62"/>
      <c r="J12" s="199">
        <v>7</v>
      </c>
      <c r="K12" s="143" t="s">
        <v>233</v>
      </c>
      <c r="L12" s="166" t="s">
        <v>233</v>
      </c>
      <c r="M12" s="357" t="s">
        <v>233</v>
      </c>
      <c r="N12" s="358" t="s">
        <v>233</v>
      </c>
      <c r="O12" s="359" t="s">
        <v>233</v>
      </c>
      <c r="P12" s="360" t="s">
        <v>233</v>
      </c>
      <c r="Q12" s="361" t="s">
        <v>233</v>
      </c>
      <c r="R12" s="362" t="s">
        <v>233</v>
      </c>
      <c r="S12" s="363" t="s">
        <v>233</v>
      </c>
      <c r="T12" s="357" t="s">
        <v>233</v>
      </c>
      <c r="U12" s="358" t="s">
        <v>233</v>
      </c>
      <c r="V12" s="359" t="s">
        <v>233</v>
      </c>
      <c r="W12" s="360" t="s">
        <v>233</v>
      </c>
      <c r="X12" s="356" t="s">
        <v>233</v>
      </c>
      <c r="Y12" s="384" t="s">
        <v>233</v>
      </c>
      <c r="Z12" s="384" t="s">
        <v>233</v>
      </c>
      <c r="AA12" s="384" t="s">
        <v>233</v>
      </c>
      <c r="AB12" s="382" t="s">
        <v>233</v>
      </c>
      <c r="AC12" s="383" t="s">
        <v>233</v>
      </c>
      <c r="AD12" s="386" t="s">
        <v>233</v>
      </c>
    </row>
    <row r="13" spans="1:30" ht="18.75" customHeight="1">
      <c r="A13" s="211" t="s">
        <v>67</v>
      </c>
      <c r="B13" s="146" t="s">
        <v>128</v>
      </c>
      <c r="C13" s="195">
        <v>0.13407771905023758</v>
      </c>
      <c r="D13" s="176" t="s">
        <v>21</v>
      </c>
      <c r="E13" s="62" t="s">
        <v>128</v>
      </c>
      <c r="F13" s="62">
        <v>460.92524569916458</v>
      </c>
      <c r="G13" s="836" t="s">
        <v>68</v>
      </c>
      <c r="H13" s="837"/>
      <c r="I13" s="62"/>
      <c r="J13" s="199">
        <v>8</v>
      </c>
      <c r="K13" s="143" t="s">
        <v>233</v>
      </c>
      <c r="L13" s="166" t="s">
        <v>233</v>
      </c>
      <c r="M13" s="357" t="s">
        <v>233</v>
      </c>
      <c r="N13" s="358" t="s">
        <v>233</v>
      </c>
      <c r="O13" s="359" t="s">
        <v>233</v>
      </c>
      <c r="P13" s="360" t="s">
        <v>233</v>
      </c>
      <c r="Q13" s="361" t="s">
        <v>233</v>
      </c>
      <c r="R13" s="362" t="s">
        <v>233</v>
      </c>
      <c r="S13" s="363" t="s">
        <v>233</v>
      </c>
      <c r="T13" s="357" t="s">
        <v>233</v>
      </c>
      <c r="U13" s="358" t="s">
        <v>233</v>
      </c>
      <c r="V13" s="359" t="s">
        <v>233</v>
      </c>
      <c r="W13" s="360" t="s">
        <v>233</v>
      </c>
      <c r="X13" s="356" t="s">
        <v>233</v>
      </c>
      <c r="Y13" s="384" t="s">
        <v>233</v>
      </c>
      <c r="Z13" s="384" t="s">
        <v>233</v>
      </c>
      <c r="AA13" s="384" t="s">
        <v>233</v>
      </c>
      <c r="AB13" s="382" t="s">
        <v>233</v>
      </c>
      <c r="AC13" s="383" t="s">
        <v>233</v>
      </c>
      <c r="AD13" s="386" t="s">
        <v>233</v>
      </c>
    </row>
    <row r="14" spans="1:30" ht="18.75" customHeight="1">
      <c r="A14" s="211"/>
      <c r="B14" s="146"/>
      <c r="C14" s="70"/>
      <c r="D14" s="70"/>
      <c r="E14" s="62"/>
      <c r="F14" s="62"/>
      <c r="G14" s="62"/>
      <c r="H14" s="209"/>
      <c r="I14" s="62"/>
      <c r="J14" s="199">
        <v>9</v>
      </c>
      <c r="K14" s="143" t="s">
        <v>233</v>
      </c>
      <c r="L14" s="166" t="s">
        <v>233</v>
      </c>
      <c r="M14" s="357" t="s">
        <v>233</v>
      </c>
      <c r="N14" s="358" t="s">
        <v>233</v>
      </c>
      <c r="O14" s="359" t="s">
        <v>233</v>
      </c>
      <c r="P14" s="360" t="s">
        <v>233</v>
      </c>
      <c r="Q14" s="361" t="s">
        <v>233</v>
      </c>
      <c r="R14" s="362" t="s">
        <v>233</v>
      </c>
      <c r="S14" s="363" t="s">
        <v>233</v>
      </c>
      <c r="T14" s="357" t="s">
        <v>233</v>
      </c>
      <c r="U14" s="358" t="s">
        <v>233</v>
      </c>
      <c r="V14" s="359" t="s">
        <v>233</v>
      </c>
      <c r="W14" s="360" t="s">
        <v>233</v>
      </c>
      <c r="X14" s="356" t="s">
        <v>233</v>
      </c>
      <c r="Y14" s="384" t="s">
        <v>233</v>
      </c>
      <c r="Z14" s="384" t="s">
        <v>233</v>
      </c>
      <c r="AA14" s="384" t="s">
        <v>233</v>
      </c>
      <c r="AB14" s="382" t="s">
        <v>233</v>
      </c>
      <c r="AC14" s="383" t="s">
        <v>233</v>
      </c>
      <c r="AD14" s="386" t="s">
        <v>233</v>
      </c>
    </row>
    <row r="15" spans="1:30" ht="18.75" customHeight="1">
      <c r="A15" s="210" t="s">
        <v>79</v>
      </c>
      <c r="B15" s="196" t="s">
        <v>128</v>
      </c>
      <c r="C15" s="175">
        <v>0.16681268191520707</v>
      </c>
      <c r="D15" s="62" t="s">
        <v>68</v>
      </c>
      <c r="E15" s="62"/>
      <c r="F15" s="62"/>
      <c r="G15" s="62"/>
      <c r="H15" s="209"/>
      <c r="I15" s="62"/>
      <c r="J15" s="199">
        <v>10</v>
      </c>
      <c r="K15" s="143" t="s">
        <v>233</v>
      </c>
      <c r="L15" s="166" t="s">
        <v>233</v>
      </c>
      <c r="M15" s="357" t="s">
        <v>233</v>
      </c>
      <c r="N15" s="358" t="s">
        <v>233</v>
      </c>
      <c r="O15" s="359" t="s">
        <v>233</v>
      </c>
      <c r="P15" s="360" t="s">
        <v>233</v>
      </c>
      <c r="Q15" s="361" t="s">
        <v>233</v>
      </c>
      <c r="R15" s="362" t="s">
        <v>233</v>
      </c>
      <c r="S15" s="363" t="s">
        <v>233</v>
      </c>
      <c r="T15" s="357" t="s">
        <v>233</v>
      </c>
      <c r="U15" s="358" t="s">
        <v>233</v>
      </c>
      <c r="V15" s="359" t="s">
        <v>233</v>
      </c>
      <c r="W15" s="360" t="s">
        <v>233</v>
      </c>
      <c r="X15" s="356" t="s">
        <v>233</v>
      </c>
      <c r="Y15" s="384" t="s">
        <v>233</v>
      </c>
      <c r="Z15" s="384" t="s">
        <v>233</v>
      </c>
      <c r="AA15" s="384" t="s">
        <v>233</v>
      </c>
      <c r="AB15" s="382" t="s">
        <v>233</v>
      </c>
      <c r="AC15" s="383" t="s">
        <v>233</v>
      </c>
      <c r="AD15" s="386" t="s">
        <v>233</v>
      </c>
    </row>
    <row r="16" spans="1:30" ht="18.75" customHeight="1">
      <c r="A16" s="211"/>
      <c r="B16" s="146"/>
      <c r="C16" s="62"/>
      <c r="D16" s="62"/>
      <c r="E16" s="62"/>
      <c r="F16" s="62"/>
      <c r="G16" s="62"/>
      <c r="H16" s="209"/>
      <c r="I16" s="62"/>
      <c r="J16" s="199">
        <v>11</v>
      </c>
      <c r="K16" s="143" t="s">
        <v>233</v>
      </c>
      <c r="L16" s="166" t="s">
        <v>233</v>
      </c>
      <c r="M16" s="357" t="s">
        <v>233</v>
      </c>
      <c r="N16" s="358" t="s">
        <v>233</v>
      </c>
      <c r="O16" s="359" t="s">
        <v>233</v>
      </c>
      <c r="P16" s="360" t="s">
        <v>233</v>
      </c>
      <c r="Q16" s="361" t="s">
        <v>233</v>
      </c>
      <c r="R16" s="362" t="s">
        <v>233</v>
      </c>
      <c r="S16" s="363" t="s">
        <v>233</v>
      </c>
      <c r="T16" s="357" t="s">
        <v>233</v>
      </c>
      <c r="U16" s="358" t="s">
        <v>233</v>
      </c>
      <c r="V16" s="359" t="s">
        <v>233</v>
      </c>
      <c r="W16" s="360" t="s">
        <v>233</v>
      </c>
      <c r="X16" s="356" t="s">
        <v>233</v>
      </c>
      <c r="Y16" s="384" t="s">
        <v>233</v>
      </c>
      <c r="Z16" s="384" t="s">
        <v>233</v>
      </c>
      <c r="AA16" s="384" t="s">
        <v>233</v>
      </c>
      <c r="AB16" s="382" t="s">
        <v>233</v>
      </c>
      <c r="AC16" s="383" t="s">
        <v>233</v>
      </c>
      <c r="AD16" s="386" t="s">
        <v>233</v>
      </c>
    </row>
    <row r="17" spans="1:30" ht="18.75" customHeight="1">
      <c r="A17" s="213" t="s">
        <v>69</v>
      </c>
      <c r="B17" s="197" t="s">
        <v>128</v>
      </c>
      <c r="C17" s="195">
        <v>1.0582201294192268</v>
      </c>
      <c r="D17" s="176" t="s">
        <v>21</v>
      </c>
      <c r="E17" s="70" t="s">
        <v>128</v>
      </c>
      <c r="F17" s="175">
        <v>60.631547211509456</v>
      </c>
      <c r="G17" s="160" t="s">
        <v>49</v>
      </c>
      <c r="H17" s="209"/>
      <c r="I17" s="62"/>
      <c r="J17" s="199">
        <v>12</v>
      </c>
      <c r="K17" s="143" t="s">
        <v>233</v>
      </c>
      <c r="L17" s="166" t="s">
        <v>233</v>
      </c>
      <c r="M17" s="357" t="s">
        <v>233</v>
      </c>
      <c r="N17" s="358" t="s">
        <v>233</v>
      </c>
      <c r="O17" s="359" t="s">
        <v>233</v>
      </c>
      <c r="P17" s="360" t="s">
        <v>233</v>
      </c>
      <c r="Q17" s="361" t="s">
        <v>233</v>
      </c>
      <c r="R17" s="362" t="s">
        <v>233</v>
      </c>
      <c r="S17" s="363" t="s">
        <v>233</v>
      </c>
      <c r="T17" s="357" t="s">
        <v>233</v>
      </c>
      <c r="U17" s="358" t="s">
        <v>233</v>
      </c>
      <c r="V17" s="359" t="s">
        <v>233</v>
      </c>
      <c r="W17" s="360" t="s">
        <v>233</v>
      </c>
      <c r="X17" s="356" t="s">
        <v>233</v>
      </c>
      <c r="Y17" s="384" t="s">
        <v>233</v>
      </c>
      <c r="Z17" s="384" t="s">
        <v>233</v>
      </c>
      <c r="AA17" s="384" t="s">
        <v>233</v>
      </c>
      <c r="AB17" s="382" t="s">
        <v>233</v>
      </c>
      <c r="AC17" s="383" t="s">
        <v>233</v>
      </c>
      <c r="AD17" s="386" t="s">
        <v>233</v>
      </c>
    </row>
    <row r="18" spans="1:30" ht="18.75" customHeight="1">
      <c r="A18" s="211" t="s">
        <v>70</v>
      </c>
      <c r="B18" s="146" t="s">
        <v>128</v>
      </c>
      <c r="C18" s="195">
        <v>0.96424834472775245</v>
      </c>
      <c r="D18" s="176" t="s">
        <v>21</v>
      </c>
      <c r="E18" s="70" t="s">
        <v>128</v>
      </c>
      <c r="F18" s="175">
        <v>55.247360555375899</v>
      </c>
      <c r="G18" s="160" t="s">
        <v>49</v>
      </c>
      <c r="H18" s="209"/>
      <c r="I18" s="62"/>
      <c r="J18" s="199">
        <v>13</v>
      </c>
      <c r="K18" s="143" t="s">
        <v>233</v>
      </c>
      <c r="L18" s="166" t="s">
        <v>233</v>
      </c>
      <c r="M18" s="357" t="s">
        <v>233</v>
      </c>
      <c r="N18" s="358" t="s">
        <v>233</v>
      </c>
      <c r="O18" s="359" t="s">
        <v>233</v>
      </c>
      <c r="P18" s="360" t="s">
        <v>233</v>
      </c>
      <c r="Q18" s="361" t="s">
        <v>233</v>
      </c>
      <c r="R18" s="362" t="s">
        <v>233</v>
      </c>
      <c r="S18" s="363" t="s">
        <v>233</v>
      </c>
      <c r="T18" s="357" t="s">
        <v>233</v>
      </c>
      <c r="U18" s="358" t="s">
        <v>233</v>
      </c>
      <c r="V18" s="359" t="s">
        <v>233</v>
      </c>
      <c r="W18" s="360" t="s">
        <v>233</v>
      </c>
      <c r="X18" s="356" t="s">
        <v>233</v>
      </c>
      <c r="Y18" s="384" t="s">
        <v>233</v>
      </c>
      <c r="Z18" s="384" t="s">
        <v>233</v>
      </c>
      <c r="AA18" s="384" t="s">
        <v>233</v>
      </c>
      <c r="AB18" s="382" t="s">
        <v>233</v>
      </c>
      <c r="AC18" s="383" t="s">
        <v>233</v>
      </c>
      <c r="AD18" s="386" t="s">
        <v>233</v>
      </c>
    </row>
    <row r="19" spans="1:30" ht="18.75" customHeight="1">
      <c r="A19" s="211"/>
      <c r="B19" s="146"/>
      <c r="C19" s="62"/>
      <c r="D19" s="62"/>
      <c r="E19" s="62"/>
      <c r="F19" s="62"/>
      <c r="G19" s="62"/>
      <c r="H19" s="209"/>
      <c r="I19" s="62"/>
      <c r="J19" s="199">
        <v>14</v>
      </c>
      <c r="K19" s="143" t="s">
        <v>233</v>
      </c>
      <c r="L19" s="166" t="s">
        <v>233</v>
      </c>
      <c r="M19" s="357" t="s">
        <v>233</v>
      </c>
      <c r="N19" s="358" t="s">
        <v>233</v>
      </c>
      <c r="O19" s="359" t="s">
        <v>233</v>
      </c>
      <c r="P19" s="360" t="s">
        <v>233</v>
      </c>
      <c r="Q19" s="361" t="s">
        <v>233</v>
      </c>
      <c r="R19" s="362" t="s">
        <v>233</v>
      </c>
      <c r="S19" s="363" t="s">
        <v>233</v>
      </c>
      <c r="T19" s="357" t="s">
        <v>233</v>
      </c>
      <c r="U19" s="358" t="s">
        <v>233</v>
      </c>
      <c r="V19" s="359" t="s">
        <v>233</v>
      </c>
      <c r="W19" s="360" t="s">
        <v>233</v>
      </c>
      <c r="X19" s="356" t="s">
        <v>233</v>
      </c>
      <c r="Y19" s="384" t="s">
        <v>233</v>
      </c>
      <c r="Z19" s="384" t="s">
        <v>233</v>
      </c>
      <c r="AA19" s="384" t="s">
        <v>233</v>
      </c>
      <c r="AB19" s="382" t="s">
        <v>233</v>
      </c>
      <c r="AC19" s="383" t="s">
        <v>233</v>
      </c>
      <c r="AD19" s="386" t="s">
        <v>233</v>
      </c>
    </row>
    <row r="20" spans="1:30" ht="18.75" customHeight="1" thickBot="1">
      <c r="A20" s="208" t="s">
        <v>71</v>
      </c>
      <c r="B20" s="194" t="s">
        <v>128</v>
      </c>
      <c r="C20" s="195">
        <v>0.14736396651005457</v>
      </c>
      <c r="D20" s="70" t="s">
        <v>21</v>
      </c>
      <c r="E20" s="70" t="s">
        <v>128</v>
      </c>
      <c r="F20" s="138">
        <v>8.4433333333333334</v>
      </c>
      <c r="G20" s="160" t="s">
        <v>49</v>
      </c>
      <c r="H20" s="209" t="s">
        <v>61</v>
      </c>
      <c r="I20" s="62"/>
      <c r="J20" s="62"/>
      <c r="K20" s="148">
        <v>1</v>
      </c>
      <c r="L20" s="149">
        <v>175</v>
      </c>
      <c r="M20" s="150" t="s">
        <v>49</v>
      </c>
      <c r="N20" s="151">
        <v>14.1</v>
      </c>
      <c r="O20" s="152" t="s">
        <v>50</v>
      </c>
      <c r="P20" s="153" t="s">
        <v>422</v>
      </c>
      <c r="Q20" s="154">
        <v>-3.0584277147322636</v>
      </c>
      <c r="R20" s="155">
        <v>-6.1358213406695317</v>
      </c>
      <c r="S20" s="156">
        <v>37</v>
      </c>
      <c r="T20" s="150" t="s">
        <v>49</v>
      </c>
      <c r="U20" s="151">
        <v>29.7</v>
      </c>
      <c r="V20" s="152" t="s">
        <v>50</v>
      </c>
      <c r="W20" s="157" t="s">
        <v>6</v>
      </c>
      <c r="X20" s="158">
        <v>-0.65441120303527378</v>
      </c>
      <c r="Y20" s="58"/>
      <c r="Z20" s="159"/>
      <c r="AA20" s="58"/>
      <c r="AB20" s="387"/>
      <c r="AC20" s="388" t="s">
        <v>6</v>
      </c>
      <c r="AD20" s="389">
        <v>23146.803497464462</v>
      </c>
    </row>
    <row r="21" spans="1:30" ht="18.75" customHeight="1" thickBot="1">
      <c r="A21" s="227"/>
      <c r="B21" s="70"/>
      <c r="C21" s="70"/>
      <c r="D21" s="70"/>
      <c r="E21" s="70"/>
      <c r="F21" s="69">
        <v>0</v>
      </c>
      <c r="G21" s="70"/>
      <c r="H21" s="228"/>
      <c r="I21" s="62"/>
      <c r="J21" s="62"/>
      <c r="K21" s="62"/>
      <c r="L21" s="62"/>
      <c r="M21" s="62"/>
      <c r="N21" s="62"/>
      <c r="O21" s="160"/>
      <c r="P21" s="62"/>
      <c r="Q21" s="138"/>
      <c r="R21" s="62"/>
      <c r="S21" s="62"/>
      <c r="T21" s="62"/>
      <c r="U21" s="62"/>
      <c r="V21" s="160"/>
      <c r="W21" s="62"/>
      <c r="X21" s="138"/>
      <c r="Y21" s="62"/>
      <c r="Z21" s="138"/>
      <c r="AA21" s="62"/>
      <c r="AB21" s="70"/>
      <c r="AC21" s="161" t="s">
        <v>79</v>
      </c>
      <c r="AD21" s="162">
        <v>22685.878251765298</v>
      </c>
    </row>
    <row r="22" spans="1:30" ht="18.75" customHeight="1">
      <c r="A22" s="272" t="s">
        <v>244</v>
      </c>
      <c r="B22" s="273" t="s">
        <v>128</v>
      </c>
      <c r="C22" s="217">
        <v>10</v>
      </c>
      <c r="D22" s="217" t="s">
        <v>49</v>
      </c>
      <c r="E22" s="217"/>
      <c r="F22" s="217"/>
      <c r="G22" s="217"/>
      <c r="H22" s="229"/>
      <c r="I22" s="70"/>
      <c r="J22" s="70"/>
      <c r="K22" s="70"/>
      <c r="L22" s="70"/>
      <c r="M22" s="70"/>
      <c r="N22" s="70"/>
      <c r="O22" s="177"/>
      <c r="P22" s="70"/>
      <c r="Q22" s="178"/>
      <c r="R22" s="70"/>
      <c r="S22" s="70"/>
      <c r="T22" s="70"/>
      <c r="U22" s="70"/>
      <c r="V22" s="177"/>
      <c r="W22" s="70"/>
      <c r="X22" s="178"/>
      <c r="Y22" s="70"/>
      <c r="Z22" s="178"/>
      <c r="AA22" s="70"/>
      <c r="AB22" s="70"/>
      <c r="AC22" s="70"/>
      <c r="AD22" s="179"/>
    </row>
  </sheetData>
  <mergeCells count="7">
    <mergeCell ref="A1:H1"/>
    <mergeCell ref="A2:AD2"/>
    <mergeCell ref="G13:H13"/>
    <mergeCell ref="L4:P4"/>
    <mergeCell ref="S4:W4"/>
    <mergeCell ref="A4:B5"/>
    <mergeCell ref="A6:B7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3"/>
  <sheetViews>
    <sheetView topLeftCell="A13" workbookViewId="0">
      <selection activeCell="Z32" sqref="Z32"/>
    </sheetView>
  </sheetViews>
  <sheetFormatPr defaultRowHeight="15"/>
  <cols>
    <col min="2" max="2" width="2.7109375" customWidth="1"/>
    <col min="3" max="3" width="8.28515625" customWidth="1"/>
    <col min="4" max="4" width="7.140625" customWidth="1"/>
    <col min="5" max="5" width="2.5703125" bestFit="1" customWidth="1"/>
    <col min="6" max="6" width="6.42578125" bestFit="1" customWidth="1"/>
    <col min="7" max="7" width="2.28515625" customWidth="1"/>
    <col min="8" max="8" width="2.85546875" bestFit="1" customWidth="1"/>
    <col min="9" max="9" width="12.7109375" hidden="1" customWidth="1"/>
    <col min="10" max="10" width="2.140625" customWidth="1"/>
    <col min="11" max="11" width="3.42578125" bestFit="1" customWidth="1"/>
    <col min="12" max="12" width="5.140625" bestFit="1" customWidth="1"/>
    <col min="13" max="13" width="1.7109375" bestFit="1" customWidth="1"/>
    <col min="14" max="14" width="5.28515625" bestFit="1" customWidth="1"/>
    <col min="15" max="15" width="2.28515625" bestFit="1" customWidth="1"/>
    <col min="16" max="16" width="3" bestFit="1" customWidth="1"/>
    <col min="17" max="17" width="5.28515625" hidden="1" customWidth="1"/>
    <col min="18" max="18" width="7.140625" style="1" bestFit="1" customWidth="1"/>
    <col min="19" max="19" width="3.7109375" bestFit="1" customWidth="1"/>
    <col min="20" max="20" width="1.7109375" bestFit="1" customWidth="1"/>
    <col min="21" max="21" width="4.7109375" style="8" bestFit="1" customWidth="1"/>
    <col min="22" max="22" width="2.28515625" bestFit="1" customWidth="1"/>
    <col min="23" max="23" width="2.28515625" customWidth="1"/>
    <col min="24" max="24" width="5.28515625" hidden="1" customWidth="1"/>
    <col min="25" max="25" width="8.28515625" customWidth="1"/>
    <col min="26" max="26" width="8.42578125" bestFit="1" customWidth="1"/>
    <col min="27" max="27" width="8.5703125" style="1" bestFit="1" customWidth="1"/>
    <col min="28" max="28" width="8.28515625" style="1" hidden="1" customWidth="1"/>
    <col min="29" max="29" width="8.28515625" style="1" customWidth="1"/>
    <col min="30" max="30" width="10.85546875" bestFit="1" customWidth="1"/>
    <col min="32" max="32" width="10.42578125" bestFit="1" customWidth="1"/>
  </cols>
  <sheetData>
    <row r="1" spans="1:31">
      <c r="A1" s="803" t="s">
        <v>205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3">
        <v>70</v>
      </c>
    </row>
    <row r="2" spans="1:31">
      <c r="A2" s="3" t="s">
        <v>204</v>
      </c>
      <c r="B2" s="3"/>
    </row>
    <row r="3" spans="1:31" ht="15.75" thickBot="1">
      <c r="A3" s="3"/>
      <c r="B3" s="3"/>
    </row>
    <row r="4" spans="1:31" ht="18.75" customHeight="1" thickBot="1">
      <c r="A4" s="841" t="s">
        <v>29</v>
      </c>
      <c r="B4" s="842"/>
      <c r="C4" s="410" t="s">
        <v>63</v>
      </c>
      <c r="D4" s="415">
        <v>37</v>
      </c>
      <c r="E4" s="416" t="s">
        <v>49</v>
      </c>
      <c r="F4" s="661">
        <v>29.7</v>
      </c>
      <c r="G4" s="418" t="s">
        <v>181</v>
      </c>
      <c r="H4" s="419" t="s">
        <v>6</v>
      </c>
      <c r="I4" s="171">
        <v>-0.65441120303527378</v>
      </c>
      <c r="K4" s="108" t="s">
        <v>41</v>
      </c>
      <c r="L4" s="852" t="s">
        <v>196</v>
      </c>
      <c r="M4" s="852"/>
      <c r="N4" s="852"/>
      <c r="O4" s="852"/>
      <c r="P4" s="853"/>
      <c r="Q4" s="106" t="s">
        <v>21</v>
      </c>
      <c r="R4" s="16" t="s">
        <v>197</v>
      </c>
      <c r="S4" s="854" t="s">
        <v>198</v>
      </c>
      <c r="T4" s="855"/>
      <c r="U4" s="855"/>
      <c r="V4" s="855"/>
      <c r="W4" s="856"/>
      <c r="X4" s="44" t="s">
        <v>21</v>
      </c>
      <c r="Y4" s="16" t="s">
        <v>199</v>
      </c>
      <c r="Z4" s="45" t="s">
        <v>200</v>
      </c>
      <c r="AA4" s="16" t="s">
        <v>201</v>
      </c>
      <c r="AC4" s="16" t="s">
        <v>202</v>
      </c>
      <c r="AD4" s="46" t="s">
        <v>203</v>
      </c>
      <c r="AE4" s="11"/>
    </row>
    <row r="5" spans="1:31" ht="18.75" customHeight="1">
      <c r="A5" s="843"/>
      <c r="B5" s="844"/>
      <c r="C5" s="216" t="s">
        <v>64</v>
      </c>
      <c r="D5" s="140">
        <v>175</v>
      </c>
      <c r="E5" s="136" t="s">
        <v>49</v>
      </c>
      <c r="F5" s="135">
        <v>14.1</v>
      </c>
      <c r="G5" s="414" t="s">
        <v>181</v>
      </c>
      <c r="H5" s="420" t="s">
        <v>422</v>
      </c>
      <c r="I5" s="172">
        <v>-3.0584277147322636</v>
      </c>
      <c r="K5" s="107">
        <v>0</v>
      </c>
      <c r="L5" s="30">
        <v>175</v>
      </c>
      <c r="M5" s="31" t="s">
        <v>49</v>
      </c>
      <c r="N5" s="31">
        <v>14.1</v>
      </c>
      <c r="O5" s="32" t="s">
        <v>50</v>
      </c>
      <c r="P5" s="47" t="s">
        <v>422</v>
      </c>
      <c r="Q5" s="10">
        <v>-3.0584277147322636</v>
      </c>
      <c r="R5" s="10">
        <v>0</v>
      </c>
      <c r="S5" s="5">
        <v>37</v>
      </c>
      <c r="T5" s="31" t="s">
        <v>49</v>
      </c>
      <c r="U5" s="51">
        <v>29.7</v>
      </c>
      <c r="V5" s="32" t="s">
        <v>50</v>
      </c>
      <c r="W5" s="47" t="s">
        <v>6</v>
      </c>
      <c r="X5" s="33">
        <v>-0.65441120303527378</v>
      </c>
      <c r="Y5" s="329">
        <v>10514.1</v>
      </c>
      <c r="Z5" s="10">
        <v>7606.8730786165124</v>
      </c>
      <c r="AA5" s="10">
        <v>9458.3923801085402</v>
      </c>
      <c r="AB5" s="93">
        <v>0.89347179172565694</v>
      </c>
      <c r="AC5" s="84">
        <v>51.19216277987185</v>
      </c>
      <c r="AD5" s="34">
        <v>12137.780046214215</v>
      </c>
      <c r="AE5" s="11"/>
    </row>
    <row r="6" spans="1:31" ht="18.75" customHeight="1">
      <c r="A6" s="845" t="s">
        <v>2</v>
      </c>
      <c r="B6" s="846"/>
      <c r="C6" s="204" t="s">
        <v>63</v>
      </c>
      <c r="D6" s="411">
        <v>34</v>
      </c>
      <c r="E6" s="412" t="s">
        <v>49</v>
      </c>
      <c r="F6" s="662">
        <v>24.472046619746834</v>
      </c>
      <c r="G6" s="413" t="s">
        <v>181</v>
      </c>
      <c r="H6" s="421" t="s">
        <v>421</v>
      </c>
      <c r="I6" s="172">
        <v>0.60053057548167421</v>
      </c>
      <c r="J6" s="199">
        <v>1</v>
      </c>
      <c r="K6" s="143" t="s">
        <v>233</v>
      </c>
      <c r="L6" s="166">
        <v>0</v>
      </c>
      <c r="M6" s="357" t="s">
        <v>49</v>
      </c>
      <c r="N6" s="358">
        <v>0</v>
      </c>
      <c r="O6" s="359" t="s">
        <v>50</v>
      </c>
      <c r="P6" s="360" t="s">
        <v>422</v>
      </c>
      <c r="Q6" s="361">
        <v>0</v>
      </c>
      <c r="R6" s="362">
        <v>3.0584277147322636</v>
      </c>
      <c r="S6" s="363">
        <v>89</v>
      </c>
      <c r="T6" s="357" t="s">
        <v>49</v>
      </c>
      <c r="U6" s="358">
        <v>17.173078616513067</v>
      </c>
      <c r="V6" s="359" t="s">
        <v>50</v>
      </c>
      <c r="W6" s="360" t="s">
        <v>421</v>
      </c>
      <c r="X6" s="356">
        <v>1.5583384803509863</v>
      </c>
      <c r="Y6" s="384">
        <v>-10508.884054389724</v>
      </c>
      <c r="Z6" s="384">
        <v>-3292.7010319967662</v>
      </c>
      <c r="AA6" s="384">
        <v>-4958.3753555887979</v>
      </c>
      <c r="AB6" s="382">
        <v>0.98459459101591928</v>
      </c>
      <c r="AC6" s="383">
        <v>236.4131145966216</v>
      </c>
      <c r="AD6" s="386">
        <v>5952.0892342960478</v>
      </c>
      <c r="AE6" s="11"/>
    </row>
    <row r="7" spans="1:31" ht="18.75" customHeight="1" thickBot="1">
      <c r="A7" s="847"/>
      <c r="B7" s="848"/>
      <c r="C7" s="406" t="s">
        <v>64</v>
      </c>
      <c r="D7" s="422">
        <v>175</v>
      </c>
      <c r="E7" s="152" t="s">
        <v>49</v>
      </c>
      <c r="F7" s="432">
        <v>8.8840543897240423</v>
      </c>
      <c r="G7" s="423" t="s">
        <v>181</v>
      </c>
      <c r="H7" s="424" t="s">
        <v>422</v>
      </c>
      <c r="I7" s="173">
        <v>-3.0569104576571924</v>
      </c>
      <c r="J7" s="199">
        <v>2</v>
      </c>
      <c r="K7" s="143" t="s">
        <v>233</v>
      </c>
      <c r="L7" s="166" t="s">
        <v>233</v>
      </c>
      <c r="M7" s="357" t="s">
        <v>233</v>
      </c>
      <c r="N7" s="358" t="s">
        <v>233</v>
      </c>
      <c r="O7" s="359" t="s">
        <v>233</v>
      </c>
      <c r="P7" s="360" t="s">
        <v>233</v>
      </c>
      <c r="Q7" s="361" t="s">
        <v>233</v>
      </c>
      <c r="R7" s="362" t="s">
        <v>233</v>
      </c>
      <c r="S7" s="363" t="s">
        <v>233</v>
      </c>
      <c r="T7" s="357" t="s">
        <v>233</v>
      </c>
      <c r="U7" s="358" t="s">
        <v>233</v>
      </c>
      <c r="V7" s="359" t="s">
        <v>233</v>
      </c>
      <c r="W7" s="360" t="s">
        <v>233</v>
      </c>
      <c r="X7" s="356" t="s">
        <v>233</v>
      </c>
      <c r="Y7" s="384" t="s">
        <v>233</v>
      </c>
      <c r="Z7" s="384" t="s">
        <v>233</v>
      </c>
      <c r="AA7" s="384" t="s">
        <v>233</v>
      </c>
      <c r="AB7" s="382" t="s">
        <v>233</v>
      </c>
      <c r="AC7" s="383" t="s">
        <v>233</v>
      </c>
      <c r="AD7" s="386" t="s">
        <v>233</v>
      </c>
      <c r="AE7" s="11"/>
    </row>
    <row r="8" spans="1:31" ht="18.75" customHeight="1">
      <c r="J8" s="199">
        <v>3</v>
      </c>
      <c r="K8" s="143" t="s">
        <v>233</v>
      </c>
      <c r="L8" s="166" t="s">
        <v>233</v>
      </c>
      <c r="M8" s="357" t="s">
        <v>233</v>
      </c>
      <c r="N8" s="358" t="s">
        <v>233</v>
      </c>
      <c r="O8" s="359" t="s">
        <v>233</v>
      </c>
      <c r="P8" s="360" t="s">
        <v>233</v>
      </c>
      <c r="Q8" s="361" t="s">
        <v>233</v>
      </c>
      <c r="R8" s="362" t="s">
        <v>233</v>
      </c>
      <c r="S8" s="363" t="s">
        <v>233</v>
      </c>
      <c r="T8" s="357" t="s">
        <v>233</v>
      </c>
      <c r="U8" s="358" t="s">
        <v>233</v>
      </c>
      <c r="V8" s="359" t="s">
        <v>233</v>
      </c>
      <c r="W8" s="360" t="s">
        <v>233</v>
      </c>
      <c r="X8" s="356" t="s">
        <v>233</v>
      </c>
      <c r="Y8" s="384" t="s">
        <v>233</v>
      </c>
      <c r="Z8" s="384" t="s">
        <v>233</v>
      </c>
      <c r="AA8" s="384" t="s">
        <v>233</v>
      </c>
      <c r="AB8" s="382" t="s">
        <v>233</v>
      </c>
      <c r="AC8" s="383" t="s">
        <v>233</v>
      </c>
      <c r="AD8" s="386" t="s">
        <v>233</v>
      </c>
      <c r="AE8" s="11"/>
    </row>
    <row r="9" spans="1:31" ht="18.75" customHeight="1">
      <c r="A9" s="203" t="s">
        <v>78</v>
      </c>
      <c r="B9" s="204" t="s">
        <v>128</v>
      </c>
      <c r="C9" s="205">
        <v>-2.0435222638296603E-5</v>
      </c>
      <c r="D9" s="206"/>
      <c r="E9" s="206"/>
      <c r="F9" s="206"/>
      <c r="G9" s="206"/>
      <c r="H9" s="207"/>
      <c r="I9" s="11"/>
      <c r="J9" s="199">
        <v>4</v>
      </c>
      <c r="K9" s="143" t="s">
        <v>233</v>
      </c>
      <c r="L9" s="166" t="s">
        <v>233</v>
      </c>
      <c r="M9" s="357" t="s">
        <v>233</v>
      </c>
      <c r="N9" s="358" t="s">
        <v>233</v>
      </c>
      <c r="O9" s="359" t="s">
        <v>233</v>
      </c>
      <c r="P9" s="360" t="s">
        <v>233</v>
      </c>
      <c r="Q9" s="361" t="s">
        <v>233</v>
      </c>
      <c r="R9" s="362" t="s">
        <v>233</v>
      </c>
      <c r="S9" s="363" t="s">
        <v>233</v>
      </c>
      <c r="T9" s="357" t="s">
        <v>233</v>
      </c>
      <c r="U9" s="358" t="s">
        <v>233</v>
      </c>
      <c r="V9" s="359" t="s">
        <v>233</v>
      </c>
      <c r="W9" s="360" t="s">
        <v>233</v>
      </c>
      <c r="X9" s="356" t="s">
        <v>233</v>
      </c>
      <c r="Y9" s="384" t="s">
        <v>233</v>
      </c>
      <c r="Z9" s="384" t="s">
        <v>233</v>
      </c>
      <c r="AA9" s="384" t="s">
        <v>233</v>
      </c>
      <c r="AB9" s="382" t="s">
        <v>233</v>
      </c>
      <c r="AC9" s="383" t="s">
        <v>233</v>
      </c>
      <c r="AD9" s="386" t="s">
        <v>233</v>
      </c>
      <c r="AE9" s="11"/>
    </row>
    <row r="10" spans="1:31" ht="18.75" customHeight="1">
      <c r="A10" s="208" t="s">
        <v>65</v>
      </c>
      <c r="B10" s="194" t="s">
        <v>128</v>
      </c>
      <c r="C10" s="195">
        <v>-2.0435222635452032E-5</v>
      </c>
      <c r="D10" s="70" t="s">
        <v>21</v>
      </c>
      <c r="E10" s="70" t="s">
        <v>128</v>
      </c>
      <c r="F10" s="138">
        <v>-1.1708520104216087E-3</v>
      </c>
      <c r="G10" s="160" t="s">
        <v>49</v>
      </c>
      <c r="H10" s="209"/>
      <c r="I10" s="11"/>
      <c r="J10" s="199">
        <v>5</v>
      </c>
      <c r="K10" s="143" t="s">
        <v>233</v>
      </c>
      <c r="L10" s="166" t="s">
        <v>233</v>
      </c>
      <c r="M10" s="357" t="s">
        <v>233</v>
      </c>
      <c r="N10" s="358" t="s">
        <v>233</v>
      </c>
      <c r="O10" s="359" t="s">
        <v>233</v>
      </c>
      <c r="P10" s="360" t="s">
        <v>233</v>
      </c>
      <c r="Q10" s="361" t="s">
        <v>233</v>
      </c>
      <c r="R10" s="362" t="s">
        <v>233</v>
      </c>
      <c r="S10" s="363" t="s">
        <v>233</v>
      </c>
      <c r="T10" s="357" t="s">
        <v>233</v>
      </c>
      <c r="U10" s="358" t="s">
        <v>233</v>
      </c>
      <c r="V10" s="359" t="s">
        <v>233</v>
      </c>
      <c r="W10" s="360" t="s">
        <v>233</v>
      </c>
      <c r="X10" s="356" t="s">
        <v>233</v>
      </c>
      <c r="Y10" s="384" t="s">
        <v>233</v>
      </c>
      <c r="Z10" s="384" t="s">
        <v>233</v>
      </c>
      <c r="AA10" s="384" t="s">
        <v>233</v>
      </c>
      <c r="AB10" s="382" t="s">
        <v>233</v>
      </c>
      <c r="AC10" s="383" t="s">
        <v>233</v>
      </c>
      <c r="AD10" s="386" t="s">
        <v>233</v>
      </c>
      <c r="AE10" s="11"/>
    </row>
    <row r="11" spans="1:31" ht="18.75" customHeight="1">
      <c r="A11" s="210" t="s">
        <v>80</v>
      </c>
      <c r="B11" s="194" t="s">
        <v>128</v>
      </c>
      <c r="C11" s="195">
        <v>6.8544721515416137E-9</v>
      </c>
      <c r="D11" s="62" t="s">
        <v>66</v>
      </c>
      <c r="E11" s="70"/>
      <c r="F11" s="62"/>
      <c r="G11" s="62"/>
      <c r="H11" s="209"/>
      <c r="I11" s="11"/>
      <c r="J11" s="199">
        <v>6</v>
      </c>
      <c r="K11" s="143" t="s">
        <v>233</v>
      </c>
      <c r="L11" s="166" t="s">
        <v>233</v>
      </c>
      <c r="M11" s="357" t="s">
        <v>233</v>
      </c>
      <c r="N11" s="358" t="s">
        <v>233</v>
      </c>
      <c r="O11" s="359" t="s">
        <v>233</v>
      </c>
      <c r="P11" s="360" t="s">
        <v>233</v>
      </c>
      <c r="Q11" s="361" t="s">
        <v>233</v>
      </c>
      <c r="R11" s="362" t="s">
        <v>233</v>
      </c>
      <c r="S11" s="363" t="s">
        <v>233</v>
      </c>
      <c r="T11" s="357" t="s">
        <v>233</v>
      </c>
      <c r="U11" s="358" t="s">
        <v>233</v>
      </c>
      <c r="V11" s="359" t="s">
        <v>233</v>
      </c>
      <c r="W11" s="360" t="s">
        <v>233</v>
      </c>
      <c r="X11" s="356" t="s">
        <v>233</v>
      </c>
      <c r="Y11" s="384" t="s">
        <v>233</v>
      </c>
      <c r="Z11" s="384" t="s">
        <v>233</v>
      </c>
      <c r="AA11" s="384" t="s">
        <v>233</v>
      </c>
      <c r="AB11" s="382" t="s">
        <v>233</v>
      </c>
      <c r="AC11" s="383" t="s">
        <v>233</v>
      </c>
      <c r="AD11" s="386" t="s">
        <v>233</v>
      </c>
      <c r="AE11" s="11"/>
    </row>
    <row r="12" spans="1:31" ht="18.75" customHeight="1">
      <c r="A12" s="109"/>
      <c r="B12" s="6"/>
      <c r="H12" s="209"/>
      <c r="I12" s="11"/>
      <c r="J12" s="199">
        <v>7</v>
      </c>
      <c r="K12" s="143" t="s">
        <v>233</v>
      </c>
      <c r="L12" s="166" t="s">
        <v>233</v>
      </c>
      <c r="M12" s="357" t="s">
        <v>233</v>
      </c>
      <c r="N12" s="358" t="s">
        <v>233</v>
      </c>
      <c r="O12" s="359" t="s">
        <v>233</v>
      </c>
      <c r="P12" s="360" t="s">
        <v>233</v>
      </c>
      <c r="Q12" s="361" t="s">
        <v>233</v>
      </c>
      <c r="R12" s="362" t="s">
        <v>233</v>
      </c>
      <c r="S12" s="363" t="s">
        <v>233</v>
      </c>
      <c r="T12" s="357" t="s">
        <v>233</v>
      </c>
      <c r="U12" s="358" t="s">
        <v>233</v>
      </c>
      <c r="V12" s="359" t="s">
        <v>233</v>
      </c>
      <c r="W12" s="360" t="s">
        <v>233</v>
      </c>
      <c r="X12" s="356" t="s">
        <v>233</v>
      </c>
      <c r="Y12" s="384" t="s">
        <v>233</v>
      </c>
      <c r="Z12" s="384" t="s">
        <v>233</v>
      </c>
      <c r="AA12" s="384" t="s">
        <v>233</v>
      </c>
      <c r="AB12" s="382" t="s">
        <v>233</v>
      </c>
      <c r="AC12" s="383" t="s">
        <v>233</v>
      </c>
      <c r="AD12" s="386" t="s">
        <v>233</v>
      </c>
      <c r="AE12" s="11"/>
    </row>
    <row r="13" spans="1:31" ht="18.75" customHeight="1">
      <c r="A13" s="211" t="s">
        <v>67</v>
      </c>
      <c r="B13" s="194" t="s">
        <v>128</v>
      </c>
      <c r="C13" s="195">
        <v>1.2549425711832238</v>
      </c>
      <c r="D13" s="176" t="s">
        <v>21</v>
      </c>
      <c r="E13" s="62" t="s">
        <v>128</v>
      </c>
      <c r="F13" s="175">
        <v>4314.1747716056761</v>
      </c>
      <c r="G13" s="836" t="s">
        <v>68</v>
      </c>
      <c r="H13" s="837"/>
      <c r="I13" s="11"/>
      <c r="J13" s="199">
        <v>8</v>
      </c>
      <c r="K13" s="143" t="s">
        <v>233</v>
      </c>
      <c r="L13" s="166" t="s">
        <v>233</v>
      </c>
      <c r="M13" s="357" t="s">
        <v>233</v>
      </c>
      <c r="N13" s="358" t="s">
        <v>233</v>
      </c>
      <c r="O13" s="359" t="s">
        <v>233</v>
      </c>
      <c r="P13" s="360" t="s">
        <v>233</v>
      </c>
      <c r="Q13" s="361" t="s">
        <v>233</v>
      </c>
      <c r="R13" s="362" t="s">
        <v>233</v>
      </c>
      <c r="S13" s="363" t="s">
        <v>233</v>
      </c>
      <c r="T13" s="357" t="s">
        <v>233</v>
      </c>
      <c r="U13" s="358" t="s">
        <v>233</v>
      </c>
      <c r="V13" s="359" t="s">
        <v>233</v>
      </c>
      <c r="W13" s="360" t="s">
        <v>233</v>
      </c>
      <c r="X13" s="356" t="s">
        <v>233</v>
      </c>
      <c r="Y13" s="384" t="s">
        <v>233</v>
      </c>
      <c r="Z13" s="384" t="s">
        <v>233</v>
      </c>
      <c r="AA13" s="384" t="s">
        <v>233</v>
      </c>
      <c r="AB13" s="382" t="s">
        <v>233</v>
      </c>
      <c r="AC13" s="383" t="s">
        <v>233</v>
      </c>
      <c r="AD13" s="386" t="s">
        <v>233</v>
      </c>
      <c r="AE13" s="11"/>
    </row>
    <row r="14" spans="1:31" ht="18.75" customHeight="1">
      <c r="A14" s="109"/>
      <c r="B14" s="6"/>
      <c r="H14" s="212"/>
      <c r="I14" s="11"/>
      <c r="J14" s="199">
        <v>9</v>
      </c>
      <c r="K14" s="143" t="s">
        <v>233</v>
      </c>
      <c r="L14" s="166" t="s">
        <v>233</v>
      </c>
      <c r="M14" s="357" t="s">
        <v>233</v>
      </c>
      <c r="N14" s="358" t="s">
        <v>233</v>
      </c>
      <c r="O14" s="359" t="s">
        <v>233</v>
      </c>
      <c r="P14" s="360" t="s">
        <v>233</v>
      </c>
      <c r="Q14" s="361" t="s">
        <v>233</v>
      </c>
      <c r="R14" s="362" t="s">
        <v>233</v>
      </c>
      <c r="S14" s="363" t="s">
        <v>233</v>
      </c>
      <c r="T14" s="357" t="s">
        <v>233</v>
      </c>
      <c r="U14" s="358" t="s">
        <v>233</v>
      </c>
      <c r="V14" s="359" t="s">
        <v>233</v>
      </c>
      <c r="W14" s="360" t="s">
        <v>233</v>
      </c>
      <c r="X14" s="356" t="s">
        <v>233</v>
      </c>
      <c r="Y14" s="384" t="s">
        <v>233</v>
      </c>
      <c r="Z14" s="384" t="s">
        <v>233</v>
      </c>
      <c r="AA14" s="384" t="s">
        <v>233</v>
      </c>
      <c r="AB14" s="382" t="s">
        <v>233</v>
      </c>
      <c r="AC14" s="383" t="s">
        <v>233</v>
      </c>
      <c r="AD14" s="386" t="s">
        <v>233</v>
      </c>
      <c r="AE14" s="11"/>
    </row>
    <row r="15" spans="1:31" ht="18.75" customHeight="1">
      <c r="A15" s="210" t="s">
        <v>79</v>
      </c>
      <c r="B15" s="194" t="s">
        <v>128</v>
      </c>
      <c r="C15" s="175">
        <v>2.9571390828854509E-7</v>
      </c>
      <c r="D15" s="176" t="s">
        <v>68</v>
      </c>
      <c r="E15" s="62"/>
      <c r="F15" s="62"/>
      <c r="G15" s="62"/>
      <c r="H15" s="209"/>
      <c r="I15" s="11"/>
      <c r="J15" s="199">
        <v>10</v>
      </c>
      <c r="K15" s="143" t="s">
        <v>233</v>
      </c>
      <c r="L15" s="166" t="s">
        <v>233</v>
      </c>
      <c r="M15" s="357" t="s">
        <v>233</v>
      </c>
      <c r="N15" s="358" t="s">
        <v>233</v>
      </c>
      <c r="O15" s="359" t="s">
        <v>233</v>
      </c>
      <c r="P15" s="360" t="s">
        <v>233</v>
      </c>
      <c r="Q15" s="361" t="s">
        <v>233</v>
      </c>
      <c r="R15" s="362" t="s">
        <v>233</v>
      </c>
      <c r="S15" s="363" t="s">
        <v>233</v>
      </c>
      <c r="T15" s="357" t="s">
        <v>233</v>
      </c>
      <c r="U15" s="358" t="s">
        <v>233</v>
      </c>
      <c r="V15" s="359" t="s">
        <v>233</v>
      </c>
      <c r="W15" s="360" t="s">
        <v>233</v>
      </c>
      <c r="X15" s="356" t="s">
        <v>233</v>
      </c>
      <c r="Y15" s="384" t="s">
        <v>233</v>
      </c>
      <c r="Z15" s="384" t="s">
        <v>233</v>
      </c>
      <c r="AA15" s="384" t="s">
        <v>233</v>
      </c>
      <c r="AB15" s="382" t="s">
        <v>233</v>
      </c>
      <c r="AC15" s="383" t="s">
        <v>233</v>
      </c>
      <c r="AD15" s="386" t="s">
        <v>233</v>
      </c>
      <c r="AE15" s="11"/>
    </row>
    <row r="16" spans="1:31" ht="18.75" customHeight="1">
      <c r="A16" s="109"/>
      <c r="B16" s="6"/>
      <c r="E16" s="62"/>
      <c r="F16" s="62"/>
      <c r="G16" s="62"/>
      <c r="H16" s="209"/>
      <c r="I16" s="11"/>
      <c r="J16" s="199">
        <v>11</v>
      </c>
      <c r="K16" s="143" t="s">
        <v>233</v>
      </c>
      <c r="L16" s="166" t="s">
        <v>233</v>
      </c>
      <c r="M16" s="357" t="s">
        <v>233</v>
      </c>
      <c r="N16" s="358" t="s">
        <v>233</v>
      </c>
      <c r="O16" s="359" t="s">
        <v>233</v>
      </c>
      <c r="P16" s="360" t="s">
        <v>233</v>
      </c>
      <c r="Q16" s="361" t="s">
        <v>233</v>
      </c>
      <c r="R16" s="362" t="s">
        <v>233</v>
      </c>
      <c r="S16" s="363" t="s">
        <v>233</v>
      </c>
      <c r="T16" s="357" t="s">
        <v>233</v>
      </c>
      <c r="U16" s="358" t="s">
        <v>233</v>
      </c>
      <c r="V16" s="359" t="s">
        <v>233</v>
      </c>
      <c r="W16" s="360" t="s">
        <v>233</v>
      </c>
      <c r="X16" s="356" t="s">
        <v>233</v>
      </c>
      <c r="Y16" s="384" t="s">
        <v>233</v>
      </c>
      <c r="Z16" s="384" t="s">
        <v>233</v>
      </c>
      <c r="AA16" s="384" t="s">
        <v>233</v>
      </c>
      <c r="AB16" s="382" t="s">
        <v>233</v>
      </c>
      <c r="AC16" s="383" t="s">
        <v>233</v>
      </c>
      <c r="AD16" s="386" t="s">
        <v>233</v>
      </c>
      <c r="AE16" s="11"/>
    </row>
    <row r="17" spans="1:31" ht="18.75" customHeight="1">
      <c r="A17" s="213" t="s">
        <v>69</v>
      </c>
      <c r="B17" s="198" t="s">
        <v>128</v>
      </c>
      <c r="C17" s="195">
        <v>1.3169383922908562E-3</v>
      </c>
      <c r="D17" s="176" t="s">
        <v>21</v>
      </c>
      <c r="E17" s="70" t="s">
        <v>128</v>
      </c>
      <c r="F17" s="175">
        <v>7.5455011757010013E-2</v>
      </c>
      <c r="G17" s="160" t="s">
        <v>49</v>
      </c>
      <c r="H17" s="209"/>
      <c r="I17" s="11"/>
      <c r="J17" s="199">
        <v>12</v>
      </c>
      <c r="K17" s="143" t="s">
        <v>233</v>
      </c>
      <c r="L17" s="166" t="s">
        <v>233</v>
      </c>
      <c r="M17" s="357" t="s">
        <v>233</v>
      </c>
      <c r="N17" s="358" t="s">
        <v>233</v>
      </c>
      <c r="O17" s="359" t="s">
        <v>233</v>
      </c>
      <c r="P17" s="360" t="s">
        <v>233</v>
      </c>
      <c r="Q17" s="361" t="s">
        <v>233</v>
      </c>
      <c r="R17" s="362" t="s">
        <v>233</v>
      </c>
      <c r="S17" s="363" t="s">
        <v>233</v>
      </c>
      <c r="T17" s="357" t="s">
        <v>233</v>
      </c>
      <c r="U17" s="358" t="s">
        <v>233</v>
      </c>
      <c r="V17" s="359" t="s">
        <v>233</v>
      </c>
      <c r="W17" s="360" t="s">
        <v>233</v>
      </c>
      <c r="X17" s="356" t="s">
        <v>233</v>
      </c>
      <c r="Y17" s="384" t="s">
        <v>233</v>
      </c>
      <c r="Z17" s="384" t="s">
        <v>233</v>
      </c>
      <c r="AA17" s="384" t="s">
        <v>233</v>
      </c>
      <c r="AB17" s="382" t="s">
        <v>233</v>
      </c>
      <c r="AC17" s="383" t="s">
        <v>233</v>
      </c>
      <c r="AD17" s="386" t="s">
        <v>233</v>
      </c>
      <c r="AE17" s="11"/>
    </row>
    <row r="18" spans="1:31" ht="18.75" customHeight="1">
      <c r="A18" s="211" t="s">
        <v>70</v>
      </c>
      <c r="B18" s="194" t="s">
        <v>128</v>
      </c>
      <c r="C18" s="195">
        <v>1.2664508181775226E-3</v>
      </c>
      <c r="D18" s="176" t="s">
        <v>21</v>
      </c>
      <c r="E18" s="70" t="s">
        <v>128</v>
      </c>
      <c r="F18" s="175">
        <v>7.2562286842462048E-2</v>
      </c>
      <c r="G18" s="160" t="s">
        <v>49</v>
      </c>
      <c r="H18" s="209"/>
      <c r="I18" s="11"/>
      <c r="J18" s="199">
        <v>13</v>
      </c>
      <c r="K18" s="143" t="s">
        <v>233</v>
      </c>
      <c r="L18" s="166" t="s">
        <v>233</v>
      </c>
      <c r="M18" s="357" t="s">
        <v>233</v>
      </c>
      <c r="N18" s="358" t="s">
        <v>233</v>
      </c>
      <c r="O18" s="359" t="s">
        <v>233</v>
      </c>
      <c r="P18" s="360" t="s">
        <v>233</v>
      </c>
      <c r="Q18" s="361" t="s">
        <v>233</v>
      </c>
      <c r="R18" s="362" t="s">
        <v>233</v>
      </c>
      <c r="S18" s="363" t="s">
        <v>233</v>
      </c>
      <c r="T18" s="357" t="s">
        <v>233</v>
      </c>
      <c r="U18" s="358" t="s">
        <v>233</v>
      </c>
      <c r="V18" s="359" t="s">
        <v>233</v>
      </c>
      <c r="W18" s="360" t="s">
        <v>233</v>
      </c>
      <c r="X18" s="356" t="s">
        <v>233</v>
      </c>
      <c r="Y18" s="384" t="s">
        <v>233</v>
      </c>
      <c r="Z18" s="384" t="s">
        <v>233</v>
      </c>
      <c r="AA18" s="384" t="s">
        <v>233</v>
      </c>
      <c r="AB18" s="382" t="s">
        <v>233</v>
      </c>
      <c r="AC18" s="383" t="s">
        <v>233</v>
      </c>
      <c r="AD18" s="386" t="s">
        <v>233</v>
      </c>
      <c r="AE18" s="11"/>
    </row>
    <row r="19" spans="1:31" ht="18.75" customHeight="1">
      <c r="A19" s="109"/>
      <c r="B19" s="6"/>
      <c r="H19" s="209"/>
      <c r="I19" s="11"/>
      <c r="J19" s="199">
        <v>14</v>
      </c>
      <c r="K19" s="143" t="s">
        <v>233</v>
      </c>
      <c r="L19" s="166" t="s">
        <v>233</v>
      </c>
      <c r="M19" s="357" t="s">
        <v>233</v>
      </c>
      <c r="N19" s="358" t="s">
        <v>233</v>
      </c>
      <c r="O19" s="359" t="s">
        <v>233</v>
      </c>
      <c r="P19" s="360" t="s">
        <v>233</v>
      </c>
      <c r="Q19" s="361" t="s">
        <v>233</v>
      </c>
      <c r="R19" s="362" t="s">
        <v>233</v>
      </c>
      <c r="S19" s="363" t="s">
        <v>233</v>
      </c>
      <c r="T19" s="357" t="s">
        <v>233</v>
      </c>
      <c r="U19" s="358" t="s">
        <v>233</v>
      </c>
      <c r="V19" s="359" t="s">
        <v>233</v>
      </c>
      <c r="W19" s="360" t="s">
        <v>233</v>
      </c>
      <c r="X19" s="356" t="s">
        <v>233</v>
      </c>
      <c r="Y19" s="384" t="s">
        <v>233</v>
      </c>
      <c r="Z19" s="384" t="s">
        <v>233</v>
      </c>
      <c r="AA19" s="384" t="s">
        <v>233</v>
      </c>
      <c r="AB19" s="382" t="s">
        <v>233</v>
      </c>
      <c r="AC19" s="383" t="s">
        <v>233</v>
      </c>
      <c r="AD19" s="386" t="s">
        <v>233</v>
      </c>
      <c r="AE19" s="11"/>
    </row>
    <row r="20" spans="1:31" ht="18.75" customHeight="1">
      <c r="A20" s="208" t="s">
        <v>71</v>
      </c>
      <c r="B20" s="194" t="s">
        <v>128</v>
      </c>
      <c r="C20" s="195">
        <v>1.5172570750712211E-3</v>
      </c>
      <c r="D20" s="70" t="s">
        <v>21</v>
      </c>
      <c r="E20" s="70" t="s">
        <v>128</v>
      </c>
      <c r="F20" s="138">
        <v>8.6932426837944873E-2</v>
      </c>
      <c r="G20" s="160" t="s">
        <v>49</v>
      </c>
      <c r="H20" s="209" t="s">
        <v>61</v>
      </c>
      <c r="I20" s="11"/>
      <c r="J20" s="199">
        <v>15</v>
      </c>
      <c r="K20" s="143" t="s">
        <v>233</v>
      </c>
      <c r="L20" s="166" t="s">
        <v>233</v>
      </c>
      <c r="M20" s="357" t="s">
        <v>233</v>
      </c>
      <c r="N20" s="358" t="s">
        <v>233</v>
      </c>
      <c r="O20" s="359" t="s">
        <v>233</v>
      </c>
      <c r="P20" s="360" t="s">
        <v>233</v>
      </c>
      <c r="Q20" s="361" t="s">
        <v>233</v>
      </c>
      <c r="R20" s="362" t="s">
        <v>233</v>
      </c>
      <c r="S20" s="363" t="s">
        <v>233</v>
      </c>
      <c r="T20" s="357" t="s">
        <v>233</v>
      </c>
      <c r="U20" s="358" t="s">
        <v>233</v>
      </c>
      <c r="V20" s="359" t="s">
        <v>233</v>
      </c>
      <c r="W20" s="360" t="s">
        <v>233</v>
      </c>
      <c r="X20" s="356" t="s">
        <v>233</v>
      </c>
      <c r="Y20" s="384" t="s">
        <v>233</v>
      </c>
      <c r="Z20" s="384" t="s">
        <v>233</v>
      </c>
      <c r="AA20" s="384" t="s">
        <v>233</v>
      </c>
      <c r="AB20" s="382" t="s">
        <v>233</v>
      </c>
      <c r="AC20" s="383" t="s">
        <v>233</v>
      </c>
      <c r="AD20" s="386" t="s">
        <v>233</v>
      </c>
      <c r="AE20" s="11"/>
    </row>
    <row r="21" spans="1:31" ht="18.75" customHeight="1">
      <c r="A21" s="109"/>
      <c r="B21" s="6"/>
      <c r="F21" s="69">
        <v>0</v>
      </c>
      <c r="H21" s="212"/>
      <c r="I21" s="11"/>
      <c r="J21" s="199">
        <v>16</v>
      </c>
      <c r="K21" s="143" t="s">
        <v>233</v>
      </c>
      <c r="L21" s="166" t="s">
        <v>233</v>
      </c>
      <c r="M21" s="357" t="s">
        <v>233</v>
      </c>
      <c r="N21" s="358" t="s">
        <v>233</v>
      </c>
      <c r="O21" s="359" t="s">
        <v>233</v>
      </c>
      <c r="P21" s="360" t="s">
        <v>233</v>
      </c>
      <c r="Q21" s="361" t="s">
        <v>233</v>
      </c>
      <c r="R21" s="362" t="s">
        <v>233</v>
      </c>
      <c r="S21" s="363" t="s">
        <v>233</v>
      </c>
      <c r="T21" s="357" t="s">
        <v>233</v>
      </c>
      <c r="U21" s="358" t="s">
        <v>233</v>
      </c>
      <c r="V21" s="359" t="s">
        <v>233</v>
      </c>
      <c r="W21" s="360" t="s">
        <v>233</v>
      </c>
      <c r="X21" s="356" t="s">
        <v>233</v>
      </c>
      <c r="Y21" s="384" t="s">
        <v>233</v>
      </c>
      <c r="Z21" s="384" t="s">
        <v>233</v>
      </c>
      <c r="AA21" s="384" t="s">
        <v>233</v>
      </c>
      <c r="AB21" s="382" t="s">
        <v>233</v>
      </c>
      <c r="AC21" s="383" t="s">
        <v>233</v>
      </c>
      <c r="AD21" s="386" t="s">
        <v>233</v>
      </c>
      <c r="AE21" s="11"/>
    </row>
    <row r="22" spans="1:31" ht="18.75" customHeight="1">
      <c r="A22" s="208" t="s">
        <v>72</v>
      </c>
      <c r="B22" s="194" t="s">
        <v>128</v>
      </c>
      <c r="C22" s="199">
        <v>-3.0576261043217694</v>
      </c>
      <c r="D22" s="200">
        <v>175</v>
      </c>
      <c r="E22" s="160" t="s">
        <v>49</v>
      </c>
      <c r="F22" s="175">
        <v>11.344266399897265</v>
      </c>
      <c r="G22" s="201" t="s">
        <v>50</v>
      </c>
      <c r="H22" s="214" t="s">
        <v>422</v>
      </c>
      <c r="I22" s="11"/>
      <c r="J22" s="199">
        <v>17</v>
      </c>
      <c r="K22" s="143" t="s">
        <v>233</v>
      </c>
      <c r="L22" s="166" t="s">
        <v>233</v>
      </c>
      <c r="M22" s="357" t="s">
        <v>233</v>
      </c>
      <c r="N22" s="358" t="s">
        <v>233</v>
      </c>
      <c r="O22" s="359" t="s">
        <v>233</v>
      </c>
      <c r="P22" s="360" t="s">
        <v>233</v>
      </c>
      <c r="Q22" s="361" t="s">
        <v>233</v>
      </c>
      <c r="R22" s="362" t="s">
        <v>233</v>
      </c>
      <c r="S22" s="363" t="s">
        <v>233</v>
      </c>
      <c r="T22" s="357" t="s">
        <v>233</v>
      </c>
      <c r="U22" s="358" t="s">
        <v>233</v>
      </c>
      <c r="V22" s="359" t="s">
        <v>233</v>
      </c>
      <c r="W22" s="360" t="s">
        <v>233</v>
      </c>
      <c r="X22" s="356" t="s">
        <v>233</v>
      </c>
      <c r="Y22" s="384" t="s">
        <v>233</v>
      </c>
      <c r="Z22" s="384" t="s">
        <v>233</v>
      </c>
      <c r="AA22" s="384" t="s">
        <v>233</v>
      </c>
      <c r="AB22" s="382" t="s">
        <v>233</v>
      </c>
      <c r="AC22" s="383" t="s">
        <v>233</v>
      </c>
      <c r="AD22" s="386" t="s">
        <v>233</v>
      </c>
    </row>
    <row r="23" spans="1:31" ht="18.75" customHeight="1">
      <c r="A23" s="109"/>
      <c r="B23" s="6"/>
      <c r="F23" s="69"/>
      <c r="H23" s="212"/>
      <c r="J23" s="199">
        <v>18</v>
      </c>
      <c r="K23" s="143" t="s">
        <v>233</v>
      </c>
      <c r="L23" s="166" t="s">
        <v>233</v>
      </c>
      <c r="M23" s="357" t="s">
        <v>233</v>
      </c>
      <c r="N23" s="358" t="s">
        <v>233</v>
      </c>
      <c r="O23" s="359" t="s">
        <v>233</v>
      </c>
      <c r="P23" s="360" t="s">
        <v>233</v>
      </c>
      <c r="Q23" s="361" t="s">
        <v>233</v>
      </c>
      <c r="R23" s="362" t="s">
        <v>233</v>
      </c>
      <c r="S23" s="363" t="s">
        <v>233</v>
      </c>
      <c r="T23" s="357" t="s">
        <v>233</v>
      </c>
      <c r="U23" s="358" t="s">
        <v>233</v>
      </c>
      <c r="V23" s="359" t="s">
        <v>233</v>
      </c>
      <c r="W23" s="360" t="s">
        <v>233</v>
      </c>
      <c r="X23" s="356" t="s">
        <v>233</v>
      </c>
      <c r="Y23" s="384" t="s">
        <v>233</v>
      </c>
      <c r="Z23" s="384" t="s">
        <v>233</v>
      </c>
      <c r="AA23" s="384" t="s">
        <v>233</v>
      </c>
      <c r="AB23" s="382" t="s">
        <v>233</v>
      </c>
      <c r="AC23" s="383" t="s">
        <v>233</v>
      </c>
      <c r="AD23" s="386" t="s">
        <v>233</v>
      </c>
    </row>
    <row r="24" spans="1:31" ht="18.75" customHeight="1" thickBot="1">
      <c r="A24" s="211" t="s">
        <v>230</v>
      </c>
      <c r="B24" s="194" t="s">
        <v>128</v>
      </c>
      <c r="C24" s="195">
        <v>-1.1703770387125098E-3</v>
      </c>
      <c r="D24" s="70" t="s">
        <v>21</v>
      </c>
      <c r="E24" s="70" t="s">
        <v>128</v>
      </c>
      <c r="F24" s="138">
        <v>359.93294233524273</v>
      </c>
      <c r="G24" s="160" t="s">
        <v>49</v>
      </c>
      <c r="H24" s="209"/>
      <c r="I24" s="11"/>
      <c r="K24" s="35">
        <v>1</v>
      </c>
      <c r="L24" s="36">
        <v>175</v>
      </c>
      <c r="M24" s="24" t="s">
        <v>49</v>
      </c>
      <c r="N24" s="37">
        <v>8.8840543897240423</v>
      </c>
      <c r="O24" s="38" t="s">
        <v>50</v>
      </c>
      <c r="P24" s="48" t="s">
        <v>422</v>
      </c>
      <c r="Q24" s="39">
        <v>-3.0569104576571924</v>
      </c>
      <c r="R24" s="41">
        <v>1.5172570750712211E-3</v>
      </c>
      <c r="S24" s="36">
        <v>34</v>
      </c>
      <c r="T24" s="24" t="s">
        <v>49</v>
      </c>
      <c r="U24" s="37">
        <v>24.472046619746806</v>
      </c>
      <c r="V24" s="38" t="s">
        <v>50</v>
      </c>
      <c r="W24" s="49" t="s">
        <v>421</v>
      </c>
      <c r="X24" s="40">
        <v>0.60053057548167421</v>
      </c>
      <c r="Y24" s="17"/>
      <c r="Z24" s="41"/>
      <c r="AA24" s="41"/>
      <c r="AC24" s="53" t="s">
        <v>6</v>
      </c>
      <c r="AD24" s="663">
        <v>18089.869280510262</v>
      </c>
    </row>
    <row r="25" spans="1:31" ht="18.75" customHeight="1" thickBot="1">
      <c r="A25" s="109"/>
      <c r="B25" s="6"/>
      <c r="H25" s="212"/>
      <c r="I25" s="11"/>
      <c r="K25" s="11"/>
      <c r="L25" s="11"/>
      <c r="M25" s="11"/>
      <c r="N25" s="11"/>
      <c r="O25" s="27"/>
      <c r="P25" s="11"/>
      <c r="Q25" s="28"/>
      <c r="R25" s="28"/>
      <c r="S25" s="11"/>
      <c r="T25" s="11"/>
      <c r="U25" s="29"/>
      <c r="V25" s="27"/>
      <c r="W25" s="11"/>
      <c r="X25" s="28"/>
      <c r="Y25" s="11"/>
      <c r="Z25" s="28"/>
      <c r="AA25" s="28"/>
      <c r="AC25" s="54" t="s">
        <v>79</v>
      </c>
      <c r="AD25" s="55">
        <v>13775.694508904586</v>
      </c>
    </row>
    <row r="26" spans="1:31" ht="18.75" customHeight="1">
      <c r="A26" s="215" t="s">
        <v>244</v>
      </c>
      <c r="B26" s="216" t="s">
        <v>128</v>
      </c>
      <c r="C26" s="217">
        <v>10</v>
      </c>
      <c r="D26" s="217" t="s">
        <v>49</v>
      </c>
      <c r="E26" s="31"/>
      <c r="F26" s="31"/>
      <c r="G26" s="31"/>
      <c r="H26" s="218"/>
      <c r="I26" s="11"/>
    </row>
    <row r="27" spans="1:31" ht="18.75" customHeight="1"/>
    <row r="28" spans="1:31">
      <c r="A28" s="3" t="s">
        <v>413</v>
      </c>
      <c r="B28" s="3"/>
    </row>
    <row r="29" spans="1:31" ht="15.75" thickBot="1">
      <c r="A29" s="3"/>
      <c r="B29" s="3"/>
    </row>
    <row r="30" spans="1:31" ht="18.75" customHeight="1" thickBot="1">
      <c r="A30" s="841" t="s">
        <v>60</v>
      </c>
      <c r="B30" s="842"/>
      <c r="C30" s="410" t="s">
        <v>63</v>
      </c>
      <c r="D30" s="415">
        <v>31</v>
      </c>
      <c r="E30" s="416" t="s">
        <v>49</v>
      </c>
      <c r="F30" s="661">
        <v>3.6880569796776399</v>
      </c>
      <c r="G30" s="418" t="s">
        <v>181</v>
      </c>
      <c r="H30" s="419" t="s">
        <v>6</v>
      </c>
      <c r="I30" s="57">
        <v>-0.54212488040651763</v>
      </c>
      <c r="J30" s="11"/>
      <c r="K30" s="483" t="s">
        <v>41</v>
      </c>
      <c r="L30" s="857" t="s">
        <v>196</v>
      </c>
      <c r="M30" s="857"/>
      <c r="N30" s="857"/>
      <c r="O30" s="857"/>
      <c r="P30" s="858"/>
      <c r="Q30" s="538" t="s">
        <v>21</v>
      </c>
      <c r="R30" s="467" t="s">
        <v>197</v>
      </c>
      <c r="S30" s="849" t="s">
        <v>198</v>
      </c>
      <c r="T30" s="850"/>
      <c r="U30" s="850"/>
      <c r="V30" s="850"/>
      <c r="W30" s="851"/>
      <c r="X30" s="538" t="s">
        <v>21</v>
      </c>
      <c r="Y30" s="467" t="s">
        <v>199</v>
      </c>
      <c r="Z30" s="539" t="s">
        <v>200</v>
      </c>
      <c r="AA30" s="467" t="s">
        <v>201</v>
      </c>
      <c r="AC30" s="467" t="s">
        <v>202</v>
      </c>
      <c r="AD30" s="540" t="s">
        <v>203</v>
      </c>
      <c r="AE30" s="11"/>
    </row>
    <row r="31" spans="1:31" ht="18.75" customHeight="1">
      <c r="A31" s="843"/>
      <c r="B31" s="844"/>
      <c r="C31" s="216" t="s">
        <v>64</v>
      </c>
      <c r="D31" s="140">
        <v>175</v>
      </c>
      <c r="E31" s="136" t="s">
        <v>49</v>
      </c>
      <c r="F31" s="135">
        <v>57.492059569689445</v>
      </c>
      <c r="G31" s="414" t="s">
        <v>181</v>
      </c>
      <c r="H31" s="420" t="s">
        <v>422</v>
      </c>
      <c r="I31" s="57">
        <v>-3.0710499532108066</v>
      </c>
      <c r="K31" s="541">
        <v>0</v>
      </c>
      <c r="L31" s="542">
        <v>175</v>
      </c>
      <c r="M31" s="543" t="s">
        <v>49</v>
      </c>
      <c r="N31" s="543">
        <v>57.492059569689445</v>
      </c>
      <c r="O31" s="544" t="s">
        <v>50</v>
      </c>
      <c r="P31" s="545" t="s">
        <v>422</v>
      </c>
      <c r="Q31" s="457">
        <v>-3.0710499532108066</v>
      </c>
      <c r="R31" s="457">
        <v>0</v>
      </c>
      <c r="S31" s="542">
        <v>31</v>
      </c>
      <c r="T31" s="543" t="s">
        <v>49</v>
      </c>
      <c r="U31" s="546">
        <v>3.6880569796776399</v>
      </c>
      <c r="V31" s="544" t="s">
        <v>50</v>
      </c>
      <c r="W31" s="545" t="s">
        <v>6</v>
      </c>
      <c r="X31" s="7">
        <v>-0.54212488040651763</v>
      </c>
      <c r="Y31" s="459">
        <v>10557.492059569689</v>
      </c>
      <c r="Z31" s="457">
        <v>7138.7403658396443</v>
      </c>
      <c r="AA31" s="457">
        <v>9284.4246879215698</v>
      </c>
      <c r="AB31" s="547">
        <v>0.91531218056814567</v>
      </c>
      <c r="AC31" s="82">
        <v>52.443524883471063</v>
      </c>
      <c r="AD31" s="548">
        <v>11711.62481454029</v>
      </c>
      <c r="AE31" s="11"/>
    </row>
    <row r="32" spans="1:31" ht="18.75" customHeight="1">
      <c r="A32" s="845" t="s">
        <v>61</v>
      </c>
      <c r="B32" s="846"/>
      <c r="C32" s="204" t="s">
        <v>63</v>
      </c>
      <c r="D32" s="411">
        <v>28</v>
      </c>
      <c r="E32" s="412" t="s">
        <v>49</v>
      </c>
      <c r="F32" s="662">
        <v>52.29606215970125</v>
      </c>
      <c r="G32" s="413" t="s">
        <v>181</v>
      </c>
      <c r="H32" s="421" t="s">
        <v>421</v>
      </c>
      <c r="I32" s="57">
        <v>0.50390449840031892</v>
      </c>
      <c r="J32" s="199">
        <v>1</v>
      </c>
      <c r="K32" s="143" t="s">
        <v>233</v>
      </c>
      <c r="L32" s="166">
        <v>0</v>
      </c>
      <c r="M32" s="357" t="s">
        <v>49</v>
      </c>
      <c r="N32" s="358">
        <v>0</v>
      </c>
      <c r="O32" s="359" t="s">
        <v>50</v>
      </c>
      <c r="P32" s="360" t="s">
        <v>422</v>
      </c>
      <c r="Q32" s="361">
        <v>0</v>
      </c>
      <c r="R32" s="362">
        <v>3.0710499532108066</v>
      </c>
      <c r="S32" s="363">
        <v>87</v>
      </c>
      <c r="T32" s="357" t="s">
        <v>49</v>
      </c>
      <c r="U32" s="358">
        <v>55.052308859966388</v>
      </c>
      <c r="V32" s="359" t="s">
        <v>50</v>
      </c>
      <c r="W32" s="360" t="s">
        <v>421</v>
      </c>
      <c r="X32" s="356">
        <v>1.5344505167422544</v>
      </c>
      <c r="Y32" s="384">
        <v>-10547.100064749655</v>
      </c>
      <c r="Z32" s="384">
        <v>-3542.7562467002654</v>
      </c>
      <c r="AA32" s="384">
        <v>-5527.3831507366767</v>
      </c>
      <c r="AB32" s="382">
        <v>1.0008120389487278</v>
      </c>
      <c r="AC32" s="383">
        <v>237.34230591764467</v>
      </c>
      <c r="AD32" s="386">
        <v>6565.2940770830264</v>
      </c>
      <c r="AE32" s="11"/>
    </row>
    <row r="33" spans="1:31" ht="18.75" customHeight="1" thickBot="1">
      <c r="A33" s="847"/>
      <c r="B33" s="848"/>
      <c r="C33" s="406" t="s">
        <v>64</v>
      </c>
      <c r="D33" s="422">
        <v>175</v>
      </c>
      <c r="E33" s="152" t="s">
        <v>49</v>
      </c>
      <c r="F33" s="432">
        <v>47.100064749654848</v>
      </c>
      <c r="G33" s="423" t="s">
        <v>181</v>
      </c>
      <c r="H33" s="424" t="s">
        <v>422</v>
      </c>
      <c r="I33" s="80">
        <v>-3.0680270444531432</v>
      </c>
      <c r="J33" s="199">
        <v>2</v>
      </c>
      <c r="K33" s="143" t="s">
        <v>233</v>
      </c>
      <c r="L33" s="166" t="s">
        <v>233</v>
      </c>
      <c r="M33" s="357" t="s">
        <v>233</v>
      </c>
      <c r="N33" s="358" t="s">
        <v>233</v>
      </c>
      <c r="O33" s="359" t="s">
        <v>233</v>
      </c>
      <c r="P33" s="360" t="s">
        <v>233</v>
      </c>
      <c r="Q33" s="361" t="s">
        <v>233</v>
      </c>
      <c r="R33" s="362" t="s">
        <v>233</v>
      </c>
      <c r="S33" s="363" t="s">
        <v>233</v>
      </c>
      <c r="T33" s="357" t="s">
        <v>233</v>
      </c>
      <c r="U33" s="358" t="s">
        <v>233</v>
      </c>
      <c r="V33" s="359" t="s">
        <v>233</v>
      </c>
      <c r="W33" s="360" t="s">
        <v>233</v>
      </c>
      <c r="X33" s="356" t="s">
        <v>233</v>
      </c>
      <c r="Y33" s="384" t="s">
        <v>233</v>
      </c>
      <c r="Z33" s="384" t="s">
        <v>233</v>
      </c>
      <c r="AA33" s="384" t="s">
        <v>233</v>
      </c>
      <c r="AB33" s="382" t="s">
        <v>233</v>
      </c>
      <c r="AC33" s="383" t="s">
        <v>233</v>
      </c>
      <c r="AD33" s="386" t="s">
        <v>233</v>
      </c>
      <c r="AE33" s="11"/>
    </row>
    <row r="34" spans="1:31" ht="18.75" customHeight="1">
      <c r="A34" s="11"/>
      <c r="B34" s="11"/>
      <c r="C34" s="11"/>
      <c r="D34" s="11"/>
      <c r="E34" s="11"/>
      <c r="F34" s="11"/>
      <c r="G34" s="11"/>
      <c r="H34" s="11"/>
      <c r="I34" s="11"/>
      <c r="J34" s="199">
        <v>3</v>
      </c>
      <c r="K34" s="143" t="s">
        <v>233</v>
      </c>
      <c r="L34" s="166" t="s">
        <v>233</v>
      </c>
      <c r="M34" s="357" t="s">
        <v>233</v>
      </c>
      <c r="N34" s="358" t="s">
        <v>233</v>
      </c>
      <c r="O34" s="359" t="s">
        <v>233</v>
      </c>
      <c r="P34" s="360" t="s">
        <v>233</v>
      </c>
      <c r="Q34" s="361" t="s">
        <v>233</v>
      </c>
      <c r="R34" s="362" t="s">
        <v>233</v>
      </c>
      <c r="S34" s="363" t="s">
        <v>233</v>
      </c>
      <c r="T34" s="357" t="s">
        <v>233</v>
      </c>
      <c r="U34" s="358" t="s">
        <v>233</v>
      </c>
      <c r="V34" s="359" t="s">
        <v>233</v>
      </c>
      <c r="W34" s="360" t="s">
        <v>233</v>
      </c>
      <c r="X34" s="356" t="s">
        <v>233</v>
      </c>
      <c r="Y34" s="384" t="s">
        <v>233</v>
      </c>
      <c r="Z34" s="384" t="s">
        <v>233</v>
      </c>
      <c r="AA34" s="384" t="s">
        <v>233</v>
      </c>
      <c r="AB34" s="382" t="s">
        <v>233</v>
      </c>
      <c r="AC34" s="383" t="s">
        <v>233</v>
      </c>
      <c r="AD34" s="386" t="s">
        <v>233</v>
      </c>
      <c r="AE34" s="11"/>
    </row>
    <row r="35" spans="1:31" ht="18.75" customHeight="1">
      <c r="A35" s="203" t="s">
        <v>78</v>
      </c>
      <c r="B35" s="219" t="s">
        <v>128</v>
      </c>
      <c r="C35" s="205">
        <v>-2.8882445816996098E-5</v>
      </c>
      <c r="D35" s="206"/>
      <c r="E35" s="206"/>
      <c r="F35" s="206"/>
      <c r="G35" s="206"/>
      <c r="H35" s="207"/>
      <c r="I35" s="11"/>
      <c r="J35" s="199">
        <v>4</v>
      </c>
      <c r="K35" s="143" t="s">
        <v>233</v>
      </c>
      <c r="L35" s="166" t="s">
        <v>233</v>
      </c>
      <c r="M35" s="357" t="s">
        <v>233</v>
      </c>
      <c r="N35" s="358" t="s">
        <v>233</v>
      </c>
      <c r="O35" s="359" t="s">
        <v>233</v>
      </c>
      <c r="P35" s="360" t="s">
        <v>233</v>
      </c>
      <c r="Q35" s="361" t="s">
        <v>233</v>
      </c>
      <c r="R35" s="362" t="s">
        <v>233</v>
      </c>
      <c r="S35" s="363" t="s">
        <v>233</v>
      </c>
      <c r="T35" s="357" t="s">
        <v>233</v>
      </c>
      <c r="U35" s="358" t="s">
        <v>233</v>
      </c>
      <c r="V35" s="359" t="s">
        <v>233</v>
      </c>
      <c r="W35" s="360" t="s">
        <v>233</v>
      </c>
      <c r="X35" s="356" t="s">
        <v>233</v>
      </c>
      <c r="Y35" s="384" t="s">
        <v>233</v>
      </c>
      <c r="Z35" s="384" t="s">
        <v>233</v>
      </c>
      <c r="AA35" s="384" t="s">
        <v>233</v>
      </c>
      <c r="AB35" s="382" t="s">
        <v>233</v>
      </c>
      <c r="AC35" s="383" t="s">
        <v>233</v>
      </c>
      <c r="AD35" s="386" t="s">
        <v>233</v>
      </c>
      <c r="AE35" s="11"/>
    </row>
    <row r="36" spans="1:31" ht="18.75" customHeight="1">
      <c r="A36" s="208" t="s">
        <v>65</v>
      </c>
      <c r="B36" s="194" t="s">
        <v>128</v>
      </c>
      <c r="C36" s="195">
        <v>-2.8882445808964894E-5</v>
      </c>
      <c r="D36" s="70" t="s">
        <v>21</v>
      </c>
      <c r="E36" s="70" t="s">
        <v>128</v>
      </c>
      <c r="F36" s="138">
        <v>-1.6548422468690013E-3</v>
      </c>
      <c r="G36" s="160" t="s">
        <v>49</v>
      </c>
      <c r="H36" s="220"/>
      <c r="I36" s="11"/>
      <c r="J36" s="199">
        <v>5</v>
      </c>
      <c r="K36" s="143" t="s">
        <v>233</v>
      </c>
      <c r="L36" s="166" t="s">
        <v>233</v>
      </c>
      <c r="M36" s="357" t="s">
        <v>233</v>
      </c>
      <c r="N36" s="358" t="s">
        <v>233</v>
      </c>
      <c r="O36" s="359" t="s">
        <v>233</v>
      </c>
      <c r="P36" s="360" t="s">
        <v>233</v>
      </c>
      <c r="Q36" s="361" t="s">
        <v>233</v>
      </c>
      <c r="R36" s="362" t="s">
        <v>233</v>
      </c>
      <c r="S36" s="363" t="s">
        <v>233</v>
      </c>
      <c r="T36" s="357" t="s">
        <v>233</v>
      </c>
      <c r="U36" s="358" t="s">
        <v>233</v>
      </c>
      <c r="V36" s="359" t="s">
        <v>233</v>
      </c>
      <c r="W36" s="360" t="s">
        <v>233</v>
      </c>
      <c r="X36" s="356" t="s">
        <v>233</v>
      </c>
      <c r="Y36" s="384" t="s">
        <v>233</v>
      </c>
      <c r="Z36" s="384" t="s">
        <v>233</v>
      </c>
      <c r="AA36" s="384" t="s">
        <v>233</v>
      </c>
      <c r="AB36" s="382" t="s">
        <v>233</v>
      </c>
      <c r="AC36" s="383" t="s">
        <v>233</v>
      </c>
      <c r="AD36" s="386" t="s">
        <v>233</v>
      </c>
      <c r="AE36" s="11"/>
    </row>
    <row r="37" spans="1:31" ht="18.75" customHeight="1">
      <c r="A37" s="210" t="s">
        <v>80</v>
      </c>
      <c r="B37" s="196" t="s">
        <v>128</v>
      </c>
      <c r="C37" s="195">
        <v>1.3692514310112221E-8</v>
      </c>
      <c r="D37" s="62" t="s">
        <v>66</v>
      </c>
      <c r="F37" s="62"/>
      <c r="G37" s="62"/>
      <c r="H37" s="220"/>
      <c r="I37" s="11"/>
      <c r="J37" s="199">
        <v>6</v>
      </c>
      <c r="K37" s="143" t="s">
        <v>233</v>
      </c>
      <c r="L37" s="166" t="s">
        <v>233</v>
      </c>
      <c r="M37" s="357" t="s">
        <v>233</v>
      </c>
      <c r="N37" s="358" t="s">
        <v>233</v>
      </c>
      <c r="O37" s="359" t="s">
        <v>233</v>
      </c>
      <c r="P37" s="360" t="s">
        <v>233</v>
      </c>
      <c r="Q37" s="361" t="s">
        <v>233</v>
      </c>
      <c r="R37" s="362" t="s">
        <v>233</v>
      </c>
      <c r="S37" s="363" t="s">
        <v>233</v>
      </c>
      <c r="T37" s="357" t="s">
        <v>233</v>
      </c>
      <c r="U37" s="358" t="s">
        <v>233</v>
      </c>
      <c r="V37" s="359" t="s">
        <v>233</v>
      </c>
      <c r="W37" s="360" t="s">
        <v>233</v>
      </c>
      <c r="X37" s="356" t="s">
        <v>233</v>
      </c>
      <c r="Y37" s="384" t="s">
        <v>233</v>
      </c>
      <c r="Z37" s="384" t="s">
        <v>233</v>
      </c>
      <c r="AA37" s="384" t="s">
        <v>233</v>
      </c>
      <c r="AB37" s="382" t="s">
        <v>233</v>
      </c>
      <c r="AC37" s="383" t="s">
        <v>233</v>
      </c>
      <c r="AD37" s="386" t="s">
        <v>233</v>
      </c>
      <c r="AE37" s="11"/>
    </row>
    <row r="38" spans="1:31" ht="18.75" customHeight="1">
      <c r="A38" s="109"/>
      <c r="F38" s="11"/>
      <c r="G38" s="11"/>
      <c r="H38" s="220"/>
      <c r="I38" s="11"/>
      <c r="J38" s="199">
        <v>7</v>
      </c>
      <c r="K38" s="143" t="s">
        <v>233</v>
      </c>
      <c r="L38" s="166" t="s">
        <v>233</v>
      </c>
      <c r="M38" s="357" t="s">
        <v>233</v>
      </c>
      <c r="N38" s="358" t="s">
        <v>233</v>
      </c>
      <c r="O38" s="359" t="s">
        <v>233</v>
      </c>
      <c r="P38" s="360" t="s">
        <v>233</v>
      </c>
      <c r="Q38" s="361" t="s">
        <v>233</v>
      </c>
      <c r="R38" s="362" t="s">
        <v>233</v>
      </c>
      <c r="S38" s="363" t="s">
        <v>233</v>
      </c>
      <c r="T38" s="357" t="s">
        <v>233</v>
      </c>
      <c r="U38" s="358" t="s">
        <v>233</v>
      </c>
      <c r="V38" s="359" t="s">
        <v>233</v>
      </c>
      <c r="W38" s="360" t="s">
        <v>233</v>
      </c>
      <c r="X38" s="356" t="s">
        <v>233</v>
      </c>
      <c r="Y38" s="384" t="s">
        <v>233</v>
      </c>
      <c r="Z38" s="384" t="s">
        <v>233</v>
      </c>
      <c r="AA38" s="384" t="s">
        <v>233</v>
      </c>
      <c r="AB38" s="382" t="s">
        <v>233</v>
      </c>
      <c r="AC38" s="383" t="s">
        <v>233</v>
      </c>
      <c r="AD38" s="386" t="s">
        <v>233</v>
      </c>
      <c r="AE38" s="11"/>
    </row>
    <row r="39" spans="1:31" ht="18.75" customHeight="1">
      <c r="A39" s="211" t="s">
        <v>67</v>
      </c>
      <c r="B39" s="146" t="s">
        <v>128</v>
      </c>
      <c r="C39" s="195">
        <v>1.0460333390745276</v>
      </c>
      <c r="D39" s="176" t="s">
        <v>21</v>
      </c>
      <c r="E39" s="62" t="s">
        <v>128</v>
      </c>
      <c r="F39" s="175">
        <v>3595.9977335368449</v>
      </c>
      <c r="G39" s="836" t="s">
        <v>68</v>
      </c>
      <c r="H39" s="837"/>
      <c r="I39" s="11"/>
      <c r="J39" s="199">
        <v>8</v>
      </c>
      <c r="K39" s="143" t="s">
        <v>233</v>
      </c>
      <c r="L39" s="166" t="s">
        <v>233</v>
      </c>
      <c r="M39" s="357" t="s">
        <v>233</v>
      </c>
      <c r="N39" s="358" t="s">
        <v>233</v>
      </c>
      <c r="O39" s="359" t="s">
        <v>233</v>
      </c>
      <c r="P39" s="360" t="s">
        <v>233</v>
      </c>
      <c r="Q39" s="361" t="s">
        <v>233</v>
      </c>
      <c r="R39" s="362" t="s">
        <v>233</v>
      </c>
      <c r="S39" s="363" t="s">
        <v>233</v>
      </c>
      <c r="T39" s="357" t="s">
        <v>233</v>
      </c>
      <c r="U39" s="358" t="s">
        <v>233</v>
      </c>
      <c r="V39" s="359" t="s">
        <v>233</v>
      </c>
      <c r="W39" s="360" t="s">
        <v>233</v>
      </c>
      <c r="X39" s="356" t="s">
        <v>233</v>
      </c>
      <c r="Y39" s="384" t="s">
        <v>233</v>
      </c>
      <c r="Z39" s="384" t="s">
        <v>233</v>
      </c>
      <c r="AA39" s="384" t="s">
        <v>233</v>
      </c>
      <c r="AB39" s="382" t="s">
        <v>233</v>
      </c>
      <c r="AC39" s="383" t="s">
        <v>233</v>
      </c>
      <c r="AD39" s="386" t="s">
        <v>233</v>
      </c>
      <c r="AE39" s="11"/>
    </row>
    <row r="40" spans="1:31" ht="18.75" customHeight="1">
      <c r="A40" s="210" t="s">
        <v>79</v>
      </c>
      <c r="B40" s="196" t="s">
        <v>128</v>
      </c>
      <c r="C40" s="175">
        <v>4.9238250425584365E-7</v>
      </c>
      <c r="D40" s="176" t="s">
        <v>68</v>
      </c>
      <c r="E40" s="11"/>
      <c r="F40" s="11"/>
      <c r="G40" s="11"/>
      <c r="H40" s="220"/>
      <c r="I40" s="11"/>
      <c r="J40" s="199">
        <v>9</v>
      </c>
      <c r="K40" s="143" t="s">
        <v>233</v>
      </c>
      <c r="L40" s="166" t="s">
        <v>233</v>
      </c>
      <c r="M40" s="357" t="s">
        <v>233</v>
      </c>
      <c r="N40" s="358" t="s">
        <v>233</v>
      </c>
      <c r="O40" s="359" t="s">
        <v>233</v>
      </c>
      <c r="P40" s="360" t="s">
        <v>233</v>
      </c>
      <c r="Q40" s="361" t="s">
        <v>233</v>
      </c>
      <c r="R40" s="362" t="s">
        <v>233</v>
      </c>
      <c r="S40" s="363" t="s">
        <v>233</v>
      </c>
      <c r="T40" s="357" t="s">
        <v>233</v>
      </c>
      <c r="U40" s="358" t="s">
        <v>233</v>
      </c>
      <c r="V40" s="359" t="s">
        <v>233</v>
      </c>
      <c r="W40" s="360" t="s">
        <v>233</v>
      </c>
      <c r="X40" s="356" t="s">
        <v>233</v>
      </c>
      <c r="Y40" s="384" t="s">
        <v>233</v>
      </c>
      <c r="Z40" s="384" t="s">
        <v>233</v>
      </c>
      <c r="AA40" s="384" t="s">
        <v>233</v>
      </c>
      <c r="AB40" s="382" t="s">
        <v>233</v>
      </c>
      <c r="AC40" s="383" t="s">
        <v>233</v>
      </c>
      <c r="AD40" s="386" t="s">
        <v>233</v>
      </c>
      <c r="AE40" s="11"/>
    </row>
    <row r="41" spans="1:31" ht="18.75" customHeight="1">
      <c r="A41" s="109"/>
      <c r="E41" s="11"/>
      <c r="F41" s="11"/>
      <c r="G41" s="11"/>
      <c r="H41" s="220"/>
      <c r="I41" s="11"/>
      <c r="J41" s="199">
        <v>10</v>
      </c>
      <c r="K41" s="143" t="s">
        <v>233</v>
      </c>
      <c r="L41" s="166" t="s">
        <v>233</v>
      </c>
      <c r="M41" s="357" t="s">
        <v>233</v>
      </c>
      <c r="N41" s="358" t="s">
        <v>233</v>
      </c>
      <c r="O41" s="359" t="s">
        <v>233</v>
      </c>
      <c r="P41" s="360" t="s">
        <v>233</v>
      </c>
      <c r="Q41" s="361" t="s">
        <v>233</v>
      </c>
      <c r="R41" s="362" t="s">
        <v>233</v>
      </c>
      <c r="S41" s="363" t="s">
        <v>233</v>
      </c>
      <c r="T41" s="357" t="s">
        <v>233</v>
      </c>
      <c r="U41" s="358" t="s">
        <v>233</v>
      </c>
      <c r="V41" s="359" t="s">
        <v>233</v>
      </c>
      <c r="W41" s="360" t="s">
        <v>233</v>
      </c>
      <c r="X41" s="356" t="s">
        <v>233</v>
      </c>
      <c r="Y41" s="384" t="s">
        <v>233</v>
      </c>
      <c r="Z41" s="384" t="s">
        <v>233</v>
      </c>
      <c r="AA41" s="384" t="s">
        <v>233</v>
      </c>
      <c r="AB41" s="382" t="s">
        <v>233</v>
      </c>
      <c r="AC41" s="383" t="s">
        <v>233</v>
      </c>
      <c r="AD41" s="386" t="s">
        <v>233</v>
      </c>
      <c r="AE41" s="11"/>
    </row>
    <row r="42" spans="1:31" ht="18.75" customHeight="1">
      <c r="A42" s="213" t="s">
        <v>69</v>
      </c>
      <c r="B42" s="197" t="s">
        <v>128</v>
      </c>
      <c r="C42" s="195">
        <v>3.0587504354140289E-3</v>
      </c>
      <c r="D42" s="176" t="s">
        <v>21</v>
      </c>
      <c r="E42" s="70" t="s">
        <v>128</v>
      </c>
      <c r="F42" s="175">
        <v>0.17525349053302675</v>
      </c>
      <c r="G42" s="160" t="s">
        <v>49</v>
      </c>
      <c r="H42" s="220"/>
      <c r="I42" s="11"/>
      <c r="J42" s="199">
        <v>11</v>
      </c>
      <c r="K42" s="143" t="s">
        <v>233</v>
      </c>
      <c r="L42" s="166" t="s">
        <v>233</v>
      </c>
      <c r="M42" s="357" t="s">
        <v>233</v>
      </c>
      <c r="N42" s="358" t="s">
        <v>233</v>
      </c>
      <c r="O42" s="359" t="s">
        <v>233</v>
      </c>
      <c r="P42" s="360" t="s">
        <v>233</v>
      </c>
      <c r="Q42" s="361" t="s">
        <v>233</v>
      </c>
      <c r="R42" s="362" t="s">
        <v>233</v>
      </c>
      <c r="S42" s="363" t="s">
        <v>233</v>
      </c>
      <c r="T42" s="357" t="s">
        <v>233</v>
      </c>
      <c r="U42" s="358" t="s">
        <v>233</v>
      </c>
      <c r="V42" s="359" t="s">
        <v>233</v>
      </c>
      <c r="W42" s="360" t="s">
        <v>233</v>
      </c>
      <c r="X42" s="356" t="s">
        <v>233</v>
      </c>
      <c r="Y42" s="384" t="s">
        <v>233</v>
      </c>
      <c r="Z42" s="384" t="s">
        <v>233</v>
      </c>
      <c r="AA42" s="384" t="s">
        <v>233</v>
      </c>
      <c r="AB42" s="382" t="s">
        <v>233</v>
      </c>
      <c r="AC42" s="383" t="s">
        <v>233</v>
      </c>
      <c r="AD42" s="386" t="s">
        <v>233</v>
      </c>
      <c r="AE42" s="11"/>
    </row>
    <row r="43" spans="1:31" ht="18.75" customHeight="1">
      <c r="A43" s="211" t="s">
        <v>70</v>
      </c>
      <c r="B43" s="146" t="s">
        <v>128</v>
      </c>
      <c r="C43" s="195">
        <v>2.9920717581327057E-3</v>
      </c>
      <c r="D43" s="176" t="s">
        <v>21</v>
      </c>
      <c r="E43" s="70" t="s">
        <v>128</v>
      </c>
      <c r="F43" s="175">
        <v>0.1714330837412921</v>
      </c>
      <c r="G43" s="160" t="s">
        <v>49</v>
      </c>
      <c r="H43" s="220"/>
      <c r="I43" s="11"/>
      <c r="J43" s="199">
        <v>12</v>
      </c>
      <c r="K43" s="143" t="s">
        <v>233</v>
      </c>
      <c r="L43" s="166" t="s">
        <v>233</v>
      </c>
      <c r="M43" s="357" t="s">
        <v>233</v>
      </c>
      <c r="N43" s="358" t="s">
        <v>233</v>
      </c>
      <c r="O43" s="359" t="s">
        <v>233</v>
      </c>
      <c r="P43" s="360" t="s">
        <v>233</v>
      </c>
      <c r="Q43" s="361" t="s">
        <v>233</v>
      </c>
      <c r="R43" s="362" t="s">
        <v>233</v>
      </c>
      <c r="S43" s="363" t="s">
        <v>233</v>
      </c>
      <c r="T43" s="357" t="s">
        <v>233</v>
      </c>
      <c r="U43" s="358" t="s">
        <v>233</v>
      </c>
      <c r="V43" s="359" t="s">
        <v>233</v>
      </c>
      <c r="W43" s="360" t="s">
        <v>233</v>
      </c>
      <c r="X43" s="356" t="s">
        <v>233</v>
      </c>
      <c r="Y43" s="384" t="s">
        <v>233</v>
      </c>
      <c r="Z43" s="384" t="s">
        <v>233</v>
      </c>
      <c r="AA43" s="384" t="s">
        <v>233</v>
      </c>
      <c r="AB43" s="382" t="s">
        <v>233</v>
      </c>
      <c r="AC43" s="383" t="s">
        <v>233</v>
      </c>
      <c r="AD43" s="386" t="s">
        <v>233</v>
      </c>
      <c r="AE43" s="11"/>
    </row>
    <row r="44" spans="1:31" ht="18.75" customHeight="1">
      <c r="A44" s="109"/>
      <c r="H44" s="220"/>
      <c r="I44" s="11"/>
      <c r="J44" s="199">
        <v>13</v>
      </c>
      <c r="K44" s="143" t="s">
        <v>233</v>
      </c>
      <c r="L44" s="166" t="s">
        <v>233</v>
      </c>
      <c r="M44" s="357" t="s">
        <v>233</v>
      </c>
      <c r="N44" s="358" t="s">
        <v>233</v>
      </c>
      <c r="O44" s="359" t="s">
        <v>233</v>
      </c>
      <c r="P44" s="360" t="s">
        <v>233</v>
      </c>
      <c r="Q44" s="361" t="s">
        <v>233</v>
      </c>
      <c r="R44" s="362" t="s">
        <v>233</v>
      </c>
      <c r="S44" s="363" t="s">
        <v>233</v>
      </c>
      <c r="T44" s="357" t="s">
        <v>233</v>
      </c>
      <c r="U44" s="358" t="s">
        <v>233</v>
      </c>
      <c r="V44" s="359" t="s">
        <v>233</v>
      </c>
      <c r="W44" s="360" t="s">
        <v>233</v>
      </c>
      <c r="X44" s="356" t="s">
        <v>233</v>
      </c>
      <c r="Y44" s="384" t="s">
        <v>233</v>
      </c>
      <c r="Z44" s="384" t="s">
        <v>233</v>
      </c>
      <c r="AA44" s="384" t="s">
        <v>233</v>
      </c>
      <c r="AB44" s="382" t="s">
        <v>233</v>
      </c>
      <c r="AC44" s="383" t="s">
        <v>233</v>
      </c>
      <c r="AD44" s="386" t="s">
        <v>233</v>
      </c>
      <c r="AE44" s="11"/>
    </row>
    <row r="45" spans="1:31" ht="18.75" customHeight="1">
      <c r="A45" s="208" t="s">
        <v>71</v>
      </c>
      <c r="B45" s="194" t="s">
        <v>128</v>
      </c>
      <c r="C45" s="195">
        <v>3.0229087576634228E-3</v>
      </c>
      <c r="D45" s="176" t="s">
        <v>21</v>
      </c>
      <c r="E45" t="s">
        <v>128</v>
      </c>
      <c r="F45" s="70">
        <v>0.17319991366724907</v>
      </c>
      <c r="G45" s="70" t="s">
        <v>49</v>
      </c>
      <c r="H45" s="221" t="s">
        <v>61</v>
      </c>
      <c r="I45" s="11"/>
      <c r="J45" s="199">
        <v>15</v>
      </c>
      <c r="K45" s="143" t="s">
        <v>233</v>
      </c>
      <c r="L45" s="166" t="s">
        <v>233</v>
      </c>
      <c r="M45" s="357" t="s">
        <v>233</v>
      </c>
      <c r="N45" s="358" t="s">
        <v>233</v>
      </c>
      <c r="O45" s="359" t="s">
        <v>233</v>
      </c>
      <c r="P45" s="360" t="s">
        <v>233</v>
      </c>
      <c r="Q45" s="361" t="s">
        <v>233</v>
      </c>
      <c r="R45" s="362" t="s">
        <v>233</v>
      </c>
      <c r="S45" s="363" t="s">
        <v>233</v>
      </c>
      <c r="T45" s="357" t="s">
        <v>233</v>
      </c>
      <c r="U45" s="358" t="s">
        <v>233</v>
      </c>
      <c r="V45" s="359" t="s">
        <v>233</v>
      </c>
      <c r="W45" s="360" t="s">
        <v>233</v>
      </c>
      <c r="X45" s="356" t="s">
        <v>233</v>
      </c>
      <c r="Y45" s="384" t="s">
        <v>233</v>
      </c>
      <c r="Z45" s="384" t="s">
        <v>233</v>
      </c>
      <c r="AA45" s="384" t="s">
        <v>233</v>
      </c>
      <c r="AB45" s="382" t="s">
        <v>233</v>
      </c>
      <c r="AC45" s="383" t="s">
        <v>233</v>
      </c>
      <c r="AD45" s="386" t="s">
        <v>233</v>
      </c>
      <c r="AE45" s="11"/>
    </row>
    <row r="46" spans="1:31" ht="18.75" customHeight="1">
      <c r="A46" s="222"/>
      <c r="B46" s="43"/>
      <c r="C46" s="202"/>
      <c r="D46" s="28"/>
      <c r="E46" s="11"/>
      <c r="F46" s="284">
        <v>0</v>
      </c>
      <c r="G46" s="11"/>
      <c r="H46" s="220"/>
      <c r="I46" s="11"/>
      <c r="J46" s="199">
        <v>16</v>
      </c>
      <c r="K46" s="143" t="s">
        <v>233</v>
      </c>
      <c r="L46" s="166" t="s">
        <v>233</v>
      </c>
      <c r="M46" s="357" t="s">
        <v>233</v>
      </c>
      <c r="N46" s="358" t="s">
        <v>233</v>
      </c>
      <c r="O46" s="359" t="s">
        <v>233</v>
      </c>
      <c r="P46" s="360" t="s">
        <v>233</v>
      </c>
      <c r="Q46" s="361" t="s">
        <v>233</v>
      </c>
      <c r="R46" s="362" t="s">
        <v>233</v>
      </c>
      <c r="S46" s="363" t="s">
        <v>233</v>
      </c>
      <c r="T46" s="357" t="s">
        <v>233</v>
      </c>
      <c r="U46" s="358" t="s">
        <v>233</v>
      </c>
      <c r="V46" s="359" t="s">
        <v>233</v>
      </c>
      <c r="W46" s="360" t="s">
        <v>233</v>
      </c>
      <c r="X46" s="356" t="s">
        <v>233</v>
      </c>
      <c r="Y46" s="384" t="s">
        <v>233</v>
      </c>
      <c r="Z46" s="384" t="s">
        <v>233</v>
      </c>
      <c r="AA46" s="384" t="s">
        <v>233</v>
      </c>
      <c r="AB46" s="382" t="s">
        <v>233</v>
      </c>
      <c r="AC46" s="383" t="s">
        <v>233</v>
      </c>
      <c r="AD46" s="386" t="s">
        <v>233</v>
      </c>
      <c r="AE46" s="11"/>
    </row>
    <row r="47" spans="1:31" ht="18.75" customHeight="1">
      <c r="A47" s="208" t="s">
        <v>81</v>
      </c>
      <c r="B47" s="194" t="s">
        <v>128</v>
      </c>
      <c r="C47" s="199">
        <v>-4.6402680916008112</v>
      </c>
      <c r="D47" s="62">
        <v>265</v>
      </c>
      <c r="E47" s="160" t="s">
        <v>49</v>
      </c>
      <c r="F47" s="175">
        <v>52.066647477082597</v>
      </c>
      <c r="G47" s="201" t="s">
        <v>50</v>
      </c>
      <c r="H47" s="214" t="s">
        <v>422</v>
      </c>
      <c r="I47" s="11"/>
      <c r="J47" s="199">
        <v>17</v>
      </c>
      <c r="K47" s="143" t="s">
        <v>233</v>
      </c>
      <c r="L47" s="166" t="s">
        <v>233</v>
      </c>
      <c r="M47" s="357" t="s">
        <v>233</v>
      </c>
      <c r="N47" s="358" t="s">
        <v>233</v>
      </c>
      <c r="O47" s="359" t="s">
        <v>233</v>
      </c>
      <c r="P47" s="360" t="s">
        <v>233</v>
      </c>
      <c r="Q47" s="361" t="s">
        <v>233</v>
      </c>
      <c r="R47" s="362" t="s">
        <v>233</v>
      </c>
      <c r="S47" s="363" t="s">
        <v>233</v>
      </c>
      <c r="T47" s="357" t="s">
        <v>233</v>
      </c>
      <c r="U47" s="358" t="s">
        <v>233</v>
      </c>
      <c r="V47" s="359" t="s">
        <v>233</v>
      </c>
      <c r="W47" s="360" t="s">
        <v>233</v>
      </c>
      <c r="X47" s="356" t="s">
        <v>233</v>
      </c>
      <c r="Y47" s="384" t="s">
        <v>233</v>
      </c>
      <c r="Z47" s="384" t="s">
        <v>233</v>
      </c>
      <c r="AA47" s="384" t="s">
        <v>233</v>
      </c>
      <c r="AB47" s="382" t="s">
        <v>233</v>
      </c>
      <c r="AC47" s="383" t="s">
        <v>233</v>
      </c>
      <c r="AD47" s="386" t="s">
        <v>233</v>
      </c>
      <c r="AE47" s="11"/>
    </row>
    <row r="48" spans="1:31" ht="18.75" customHeight="1" thickBot="1">
      <c r="A48" s="208" t="s">
        <v>82</v>
      </c>
      <c r="B48" s="194" t="s">
        <v>128</v>
      </c>
      <c r="C48" s="199">
        <v>-1.56817615861622</v>
      </c>
      <c r="D48" s="62">
        <v>89</v>
      </c>
      <c r="E48" s="160" t="s">
        <v>49</v>
      </c>
      <c r="F48" s="175">
        <v>50.992525304841365</v>
      </c>
      <c r="G48" s="201" t="s">
        <v>50</v>
      </c>
      <c r="H48" s="214" t="s">
        <v>6</v>
      </c>
      <c r="I48" s="11"/>
      <c r="J48" s="11"/>
      <c r="K48" s="35">
        <v>1</v>
      </c>
      <c r="L48" s="36">
        <v>175</v>
      </c>
      <c r="M48" s="24" t="s">
        <v>49</v>
      </c>
      <c r="N48" s="37">
        <v>47.100064749654848</v>
      </c>
      <c r="O48" s="38" t="s">
        <v>50</v>
      </c>
      <c r="P48" s="48" t="s">
        <v>422</v>
      </c>
      <c r="Q48" s="39">
        <v>-3.0680270444531432</v>
      </c>
      <c r="R48" s="549">
        <v>3.0229087576634228E-3</v>
      </c>
      <c r="S48" s="36">
        <v>28</v>
      </c>
      <c r="T48" s="24" t="s">
        <v>49</v>
      </c>
      <c r="U48" s="37">
        <v>52.296062159700796</v>
      </c>
      <c r="V48" s="38" t="s">
        <v>50</v>
      </c>
      <c r="W48" s="49" t="s">
        <v>421</v>
      </c>
      <c r="X48" s="550">
        <v>0.50390449840031892</v>
      </c>
      <c r="Y48" s="17"/>
      <c r="Z48" s="41"/>
      <c r="AA48" s="41"/>
      <c r="AB48" s="551"/>
      <c r="AC48" s="53" t="s">
        <v>6</v>
      </c>
      <c r="AD48" s="663">
        <v>18276.918891623318</v>
      </c>
      <c r="AE48" s="11"/>
    </row>
    <row r="49" spans="1:31" ht="18.75" customHeight="1" thickBot="1">
      <c r="A49" s="222"/>
      <c r="B49" s="43"/>
      <c r="C49" s="11"/>
      <c r="D49" s="11"/>
      <c r="E49" s="11"/>
      <c r="F49" s="11"/>
      <c r="G49" s="11"/>
      <c r="H49" s="220"/>
      <c r="I49" s="11"/>
      <c r="J49" s="11"/>
      <c r="K49" s="11"/>
      <c r="L49" s="11"/>
      <c r="M49" s="11"/>
      <c r="N49" s="11"/>
      <c r="O49" s="27"/>
      <c r="P49" s="11"/>
      <c r="Q49" s="28"/>
      <c r="R49" s="28"/>
      <c r="S49" s="11"/>
      <c r="T49" s="11"/>
      <c r="U49" s="29"/>
      <c r="V49" s="27"/>
      <c r="W49" s="11"/>
      <c r="X49" s="28"/>
      <c r="Y49" s="11"/>
      <c r="Z49" s="28"/>
      <c r="AA49" s="28"/>
      <c r="AC49" s="54" t="s">
        <v>79</v>
      </c>
      <c r="AD49" s="55">
        <v>14680.921158086472</v>
      </c>
      <c r="AE49" s="11"/>
    </row>
    <row r="50" spans="1:31" ht="18.75" customHeight="1">
      <c r="A50" s="215" t="s">
        <v>244</v>
      </c>
      <c r="B50" s="223" t="s">
        <v>128</v>
      </c>
      <c r="C50" s="217">
        <v>15</v>
      </c>
      <c r="D50" s="217" t="s">
        <v>49</v>
      </c>
      <c r="E50" s="224"/>
      <c r="F50" s="224"/>
      <c r="G50" s="224"/>
      <c r="H50" s="67"/>
      <c r="I50" s="11"/>
      <c r="J50" s="11"/>
      <c r="K50" s="11"/>
      <c r="L50" s="11"/>
      <c r="M50" s="11"/>
      <c r="N50" s="11"/>
      <c r="O50" s="11"/>
      <c r="P50" s="11"/>
      <c r="Q50" s="11"/>
      <c r="R50" s="28"/>
      <c r="S50" s="11"/>
      <c r="T50" s="11"/>
      <c r="U50" s="29"/>
      <c r="V50" s="11"/>
      <c r="W50" s="11"/>
      <c r="X50" s="11"/>
      <c r="Y50" s="11"/>
      <c r="Z50" s="11"/>
      <c r="AA50" s="28"/>
      <c r="AB50" s="28"/>
      <c r="AC50" s="28"/>
      <c r="AD50" s="11"/>
      <c r="AE50" s="11"/>
    </row>
    <row r="51" spans="1:31" ht="18.75" customHeight="1">
      <c r="I51" s="11"/>
      <c r="J51" s="11"/>
      <c r="K51" s="11"/>
      <c r="L51" s="11"/>
      <c r="M51" s="11"/>
      <c r="N51" s="11"/>
      <c r="O51" s="11"/>
      <c r="P51" s="11"/>
      <c r="Q51" s="11"/>
      <c r="R51" s="28"/>
      <c r="S51" s="11"/>
      <c r="T51" s="11"/>
      <c r="U51" s="29"/>
      <c r="V51" s="11"/>
      <c r="W51" s="11"/>
      <c r="X51" s="11"/>
      <c r="Y51" s="11"/>
      <c r="Z51" s="11"/>
      <c r="AA51" s="28"/>
      <c r="AB51" s="28"/>
      <c r="AC51" s="28"/>
      <c r="AD51" s="11"/>
      <c r="AE51" s="11"/>
    </row>
    <row r="52" spans="1:31">
      <c r="A52" s="43"/>
      <c r="B52" s="4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28"/>
      <c r="S52" s="11"/>
      <c r="T52" s="11"/>
      <c r="U52" s="29"/>
      <c r="V52" s="11"/>
      <c r="W52" s="11"/>
      <c r="X52" s="11"/>
      <c r="Y52" s="11"/>
      <c r="Z52" s="11"/>
      <c r="AA52" s="28"/>
      <c r="AB52" s="28"/>
      <c r="AC52" s="28"/>
      <c r="AD52" s="11"/>
      <c r="AE52" s="11"/>
    </row>
    <row r="53" spans="1:31">
      <c r="A53" s="11"/>
      <c r="B53" s="11"/>
      <c r="C53" s="11"/>
      <c r="D53" s="11"/>
      <c r="E53" s="11"/>
      <c r="F53" s="11"/>
      <c r="G53" s="11"/>
      <c r="H53" s="11"/>
      <c r="I53" s="11"/>
    </row>
  </sheetData>
  <mergeCells count="11">
    <mergeCell ref="A32:B33"/>
    <mergeCell ref="A1:K1"/>
    <mergeCell ref="L30:P30"/>
    <mergeCell ref="A4:B5"/>
    <mergeCell ref="A6:B7"/>
    <mergeCell ref="A30:B31"/>
    <mergeCell ref="S30:W30"/>
    <mergeCell ref="L4:P4"/>
    <mergeCell ref="S4:W4"/>
    <mergeCell ref="G39:H39"/>
    <mergeCell ref="G13:H13"/>
  </mergeCells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1"/>
  <sheetViews>
    <sheetView workbookViewId="0">
      <selection activeCell="P13" sqref="P13"/>
    </sheetView>
  </sheetViews>
  <sheetFormatPr defaultColWidth="9.140625" defaultRowHeight="15"/>
  <cols>
    <col min="1" max="1" width="1.5703125" style="284" customWidth="1"/>
    <col min="2" max="2" width="4" style="11" bestFit="1" customWidth="1"/>
    <col min="3" max="3" width="4.28515625" style="11" bestFit="1" customWidth="1"/>
    <col min="4" max="4" width="1.7109375" style="11" bestFit="1" customWidth="1"/>
    <col min="5" max="5" width="5.42578125" style="11" bestFit="1" customWidth="1"/>
    <col min="6" max="6" width="1.7109375" style="11" customWidth="1"/>
    <col min="7" max="7" width="3" style="11" bestFit="1" customWidth="1"/>
    <col min="8" max="8" width="5.42578125" style="11" hidden="1" customWidth="1"/>
    <col min="9" max="9" width="8.140625" style="11" bestFit="1" customWidth="1"/>
    <col min="10" max="10" width="4.42578125" style="11" customWidth="1"/>
    <col min="11" max="11" width="1.7109375" style="11" bestFit="1" customWidth="1"/>
    <col min="12" max="12" width="7.42578125" style="11" bestFit="1" customWidth="1"/>
    <col min="13" max="13" width="1.7109375" style="11" customWidth="1"/>
    <col min="14" max="14" width="3" style="11" bestFit="1" customWidth="1"/>
    <col min="15" max="15" width="8.28515625" style="11" hidden="1" customWidth="1"/>
    <col min="16" max="16" width="8" style="11" customWidth="1"/>
    <col min="17" max="17" width="8.42578125" style="11" customWidth="1"/>
    <col min="18" max="18" width="7.28515625" style="11" bestFit="1" customWidth="1"/>
    <col min="19" max="19" width="8.42578125" style="11" bestFit="1" customWidth="1"/>
    <col min="20" max="20" width="8.28515625" style="11" customWidth="1"/>
    <col min="21" max="21" width="7.28515625" style="11" bestFit="1" customWidth="1"/>
    <col min="22" max="22" width="6" style="11" bestFit="1" customWidth="1"/>
    <col min="23" max="23" width="6.5703125" style="11" customWidth="1"/>
    <col min="24" max="24" width="5.28515625" style="11" customWidth="1"/>
    <col min="25" max="25" width="8.5703125" style="11" customWidth="1"/>
    <col min="26" max="26" width="7.28515625" style="11" bestFit="1" customWidth="1"/>
    <col min="27" max="27" width="3.5703125" style="11" hidden="1" customWidth="1"/>
    <col min="28" max="28" width="7.85546875" style="11" bestFit="1" customWidth="1"/>
    <col min="29" max="29" width="8.28515625" style="11" customWidth="1"/>
    <col min="30" max="32" width="0" style="11" hidden="1" customWidth="1"/>
    <col min="33" max="16384" width="9.140625" style="11"/>
  </cols>
  <sheetData>
    <row r="1" spans="1:38" ht="18.600000000000001" customHeight="1">
      <c r="C1" s="803" t="s">
        <v>226</v>
      </c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8">
        <v>70</v>
      </c>
    </row>
    <row r="2" spans="1:38" ht="18.600000000000001" customHeight="1" thickBot="1">
      <c r="A2" s="515"/>
      <c r="E2" s="862" t="s">
        <v>290</v>
      </c>
      <c r="F2" s="862"/>
      <c r="G2" s="862"/>
      <c r="H2" s="862"/>
      <c r="I2" s="862"/>
      <c r="J2" s="862"/>
      <c r="K2" s="862"/>
      <c r="L2" s="862"/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2"/>
      <c r="X2" s="862"/>
      <c r="Y2" s="862"/>
      <c r="Z2" s="862"/>
      <c r="AA2" s="862"/>
      <c r="AB2" s="862"/>
    </row>
    <row r="3" spans="1:38" ht="18.600000000000001" customHeight="1">
      <c r="G3" s="863" t="s">
        <v>61</v>
      </c>
      <c r="H3" s="219"/>
      <c r="I3" s="468" t="s">
        <v>63</v>
      </c>
      <c r="J3" s="511">
        <v>28</v>
      </c>
      <c r="K3" s="512" t="s">
        <v>49</v>
      </c>
      <c r="L3" s="645">
        <v>52.29606215970125</v>
      </c>
      <c r="M3" s="513" t="s">
        <v>50</v>
      </c>
      <c r="N3" s="348" t="s">
        <v>421</v>
      </c>
      <c r="O3" s="647">
        <v>0.50390449840031892</v>
      </c>
      <c r="R3" s="518" t="s">
        <v>78</v>
      </c>
      <c r="S3" s="519" t="s">
        <v>128</v>
      </c>
      <c r="T3" s="520">
        <v>4.1848960449615404E-5</v>
      </c>
      <c r="U3" s="249"/>
      <c r="V3" s="521" t="s">
        <v>244</v>
      </c>
      <c r="W3" s="519" t="s">
        <v>128</v>
      </c>
      <c r="X3" s="249">
        <v>15</v>
      </c>
      <c r="Y3" s="522" t="s">
        <v>49</v>
      </c>
      <c r="AA3" s="197"/>
      <c r="AH3" s="62"/>
    </row>
    <row r="4" spans="1:38" ht="18.600000000000001" customHeight="1">
      <c r="G4" s="864"/>
      <c r="H4" s="223"/>
      <c r="I4" s="507" t="s">
        <v>64</v>
      </c>
      <c r="J4" s="508">
        <v>175</v>
      </c>
      <c r="K4" s="506" t="s">
        <v>49</v>
      </c>
      <c r="L4" s="646">
        <v>47.100064749654848</v>
      </c>
      <c r="M4" s="510" t="s">
        <v>50</v>
      </c>
      <c r="N4" s="225" t="s">
        <v>422</v>
      </c>
      <c r="O4" s="648">
        <v>-3.0680270444531432</v>
      </c>
      <c r="R4" s="523" t="s">
        <v>65</v>
      </c>
      <c r="S4" s="194" t="s">
        <v>128</v>
      </c>
      <c r="T4" s="195">
        <v>4.184896042518488E-5</v>
      </c>
      <c r="U4" s="62" t="s">
        <v>21</v>
      </c>
      <c r="V4" s="62" t="s">
        <v>128</v>
      </c>
      <c r="W4" s="175">
        <v>2.3977688093731009E-3</v>
      </c>
      <c r="X4" s="332" t="s">
        <v>49</v>
      </c>
      <c r="Y4" s="469"/>
      <c r="AA4" s="146"/>
      <c r="AH4" s="62"/>
    </row>
    <row r="5" spans="1:38" ht="18.600000000000001" customHeight="1">
      <c r="G5" s="863" t="s">
        <v>62</v>
      </c>
      <c r="H5" s="146"/>
      <c r="I5" s="503" t="s">
        <v>63</v>
      </c>
      <c r="J5" s="11">
        <v>25</v>
      </c>
      <c r="K5" s="502" t="s">
        <v>49</v>
      </c>
      <c r="L5" s="28">
        <v>41.904067339666653</v>
      </c>
      <c r="M5" s="504" t="s">
        <v>50</v>
      </c>
      <c r="N5" s="505" t="s">
        <v>6</v>
      </c>
      <c r="O5" s="648">
        <v>-0.44852171208282576</v>
      </c>
      <c r="R5" s="255" t="s">
        <v>67</v>
      </c>
      <c r="S5" s="403" t="s">
        <v>128</v>
      </c>
      <c r="T5" s="349">
        <v>0.9524306351452011</v>
      </c>
      <c r="U5" s="166" t="s">
        <v>21</v>
      </c>
      <c r="V5" s="166" t="s">
        <v>128</v>
      </c>
      <c r="W5" s="340">
        <v>3274.2153403670641</v>
      </c>
      <c r="X5" s="350" t="s">
        <v>68</v>
      </c>
      <c r="Y5" s="524"/>
    </row>
    <row r="6" spans="1:38" ht="18.75" customHeight="1" thickBot="1">
      <c r="G6" s="864"/>
      <c r="H6" s="223"/>
      <c r="I6" s="468" t="s">
        <v>64</v>
      </c>
      <c r="J6" s="60">
        <v>175</v>
      </c>
      <c r="K6" s="512" t="s">
        <v>49</v>
      </c>
      <c r="L6" s="289">
        <v>36.708069929620251</v>
      </c>
      <c r="M6" s="514" t="s">
        <v>50</v>
      </c>
      <c r="N6" s="15" t="s">
        <v>422</v>
      </c>
      <c r="O6" s="649">
        <v>-3.0650041356954794</v>
      </c>
      <c r="R6" s="525" t="s">
        <v>79</v>
      </c>
      <c r="S6" s="194" t="s">
        <v>128</v>
      </c>
      <c r="T6" s="175">
        <v>9.4122153735386577E-7</v>
      </c>
      <c r="U6" s="62" t="s">
        <v>68</v>
      </c>
      <c r="V6" s="352" t="s">
        <v>80</v>
      </c>
      <c r="W6" s="403" t="s">
        <v>128</v>
      </c>
      <c r="X6" s="340">
        <v>2.8746476316012489E-8</v>
      </c>
      <c r="Y6" s="526" t="s">
        <v>66</v>
      </c>
    </row>
    <row r="7" spans="1:38" ht="18.75" customHeight="1">
      <c r="K7" s="476"/>
      <c r="R7" s="527" t="s">
        <v>71</v>
      </c>
      <c r="S7" s="403" t="s">
        <v>128</v>
      </c>
      <c r="T7" s="349">
        <v>3.0229087576638669E-3</v>
      </c>
      <c r="U7" s="166" t="s">
        <v>21</v>
      </c>
      <c r="V7" s="166" t="s">
        <v>128</v>
      </c>
      <c r="W7" s="340">
        <v>0.17319991366727452</v>
      </c>
      <c r="X7" s="351" t="s">
        <v>49</v>
      </c>
      <c r="Y7" s="526" t="s">
        <v>61</v>
      </c>
      <c r="Z7" s="69">
        <v>0</v>
      </c>
    </row>
    <row r="8" spans="1:38" ht="18.75" customHeight="1">
      <c r="R8" s="528" t="s">
        <v>312</v>
      </c>
      <c r="S8" s="198" t="s">
        <v>128</v>
      </c>
      <c r="T8" s="195">
        <v>-3.3429320072994417E-3</v>
      </c>
      <c r="U8" s="62" t="s">
        <v>21</v>
      </c>
      <c r="V8" s="62" t="s">
        <v>128</v>
      </c>
      <c r="W8" s="175">
        <v>179.80846410478256</v>
      </c>
      <c r="X8" s="332" t="s">
        <v>49</v>
      </c>
      <c r="Y8" s="529"/>
    </row>
    <row r="9" spans="1:38" ht="18.75" customHeight="1" thickBot="1">
      <c r="R9" s="530" t="s">
        <v>313</v>
      </c>
      <c r="S9" s="531" t="s">
        <v>128</v>
      </c>
      <c r="T9" s="532">
        <v>-3.2487557823614936E-3</v>
      </c>
      <c r="U9" s="149" t="s">
        <v>21</v>
      </c>
      <c r="V9" s="149" t="s">
        <v>128</v>
      </c>
      <c r="W9" s="151">
        <v>179.81386000500197</v>
      </c>
      <c r="X9" s="533" t="s">
        <v>49</v>
      </c>
      <c r="Y9" s="80"/>
    </row>
    <row r="10" spans="1:38" ht="10.5" customHeight="1" thickBot="1">
      <c r="R10" s="88"/>
      <c r="S10" s="194"/>
      <c r="T10" s="195"/>
      <c r="U10" s="62"/>
      <c r="V10" s="62"/>
      <c r="W10" s="175"/>
      <c r="X10" s="332"/>
    </row>
    <row r="11" spans="1:38" ht="18.75" customHeight="1">
      <c r="B11" s="489" t="s">
        <v>41</v>
      </c>
      <c r="C11" s="860" t="s">
        <v>196</v>
      </c>
      <c r="D11" s="861"/>
      <c r="E11" s="861"/>
      <c r="F11" s="861"/>
      <c r="G11" s="861"/>
      <c r="H11" s="490" t="s">
        <v>21</v>
      </c>
      <c r="I11" s="164" t="s">
        <v>197</v>
      </c>
      <c r="J11" s="859" t="s">
        <v>198</v>
      </c>
      <c r="K11" s="859"/>
      <c r="L11" s="859"/>
      <c r="M11" s="859"/>
      <c r="N11" s="859"/>
      <c r="O11" s="482" t="s">
        <v>21</v>
      </c>
      <c r="P11" s="516" t="s">
        <v>199</v>
      </c>
      <c r="Q11" s="113" t="s">
        <v>200</v>
      </c>
      <c r="R11" s="164" t="s">
        <v>201</v>
      </c>
      <c r="S11" s="288" t="s">
        <v>280</v>
      </c>
      <c r="T11" s="364" t="s">
        <v>234</v>
      </c>
      <c r="U11" s="364" t="s">
        <v>235</v>
      </c>
      <c r="V11" s="288" t="s">
        <v>281</v>
      </c>
      <c r="W11" s="288" t="s">
        <v>282</v>
      </c>
      <c r="X11" s="364" t="s">
        <v>283</v>
      </c>
      <c r="Y11" s="288" t="s">
        <v>93</v>
      </c>
      <c r="Z11" s="534" t="s">
        <v>284</v>
      </c>
      <c r="AA11" s="114"/>
      <c r="AB11" s="115" t="s">
        <v>236</v>
      </c>
      <c r="AC11" s="116" t="s">
        <v>243</v>
      </c>
      <c r="AD11" s="11" t="s">
        <v>418</v>
      </c>
      <c r="AE11" s="11" t="s">
        <v>419</v>
      </c>
      <c r="AF11" s="11" t="s">
        <v>420</v>
      </c>
    </row>
    <row r="12" spans="1:38" ht="15" customHeight="1">
      <c r="B12" s="485">
        <v>0</v>
      </c>
      <c r="C12" s="31">
        <v>175</v>
      </c>
      <c r="D12" s="31" t="s">
        <v>49</v>
      </c>
      <c r="E12" s="180">
        <v>47.100064749654848</v>
      </c>
      <c r="F12" s="32" t="s">
        <v>50</v>
      </c>
      <c r="G12" s="47" t="s">
        <v>422</v>
      </c>
      <c r="H12" s="486">
        <v>-3.0680270444531432</v>
      </c>
      <c r="I12" s="138">
        <v>0</v>
      </c>
      <c r="J12" s="30">
        <v>28</v>
      </c>
      <c r="K12" s="31" t="s">
        <v>49</v>
      </c>
      <c r="L12" s="487">
        <v>52.29606215970125</v>
      </c>
      <c r="M12" s="32" t="s">
        <v>50</v>
      </c>
      <c r="N12" s="47" t="s">
        <v>421</v>
      </c>
      <c r="O12" s="488">
        <v>0.50390449840031892</v>
      </c>
      <c r="P12" s="383">
        <v>10547.100064749655</v>
      </c>
      <c r="Q12" s="382">
        <v>-4646.5809466453929</v>
      </c>
      <c r="R12" s="382">
        <v>10.388010714947626</v>
      </c>
      <c r="S12" s="382">
        <v>0.17319991366727452</v>
      </c>
      <c r="T12" s="500">
        <v>10.391994820036471</v>
      </c>
      <c r="U12" s="382">
        <v>-3274.2001294993674</v>
      </c>
      <c r="V12" s="500">
        <v>2.3977688093731009E-3</v>
      </c>
      <c r="W12" s="500">
        <v>42.438752832542363</v>
      </c>
      <c r="X12" s="500">
        <v>222.25457412459411</v>
      </c>
      <c r="Y12" s="500">
        <v>10166.563291458111</v>
      </c>
      <c r="Z12" s="535">
        <v>-4646.5809466453929</v>
      </c>
      <c r="AA12" s="495">
        <v>-3.1726759053411304E-3</v>
      </c>
      <c r="AB12" s="498">
        <v>179.81821906086111</v>
      </c>
      <c r="AC12" s="496">
        <v>6277.768354081335</v>
      </c>
      <c r="AD12" s="11">
        <v>1799.5175360462461</v>
      </c>
      <c r="AE12" s="11">
        <v>-11609.589249783181</v>
      </c>
      <c r="AF12" s="138"/>
    </row>
    <row r="13" spans="1:38" ht="15" customHeight="1">
      <c r="A13" s="284">
        <v>1</v>
      </c>
      <c r="B13" s="143" t="s">
        <v>233</v>
      </c>
      <c r="C13" s="12">
        <v>0</v>
      </c>
      <c r="D13" s="11" t="s">
        <v>49</v>
      </c>
      <c r="E13" s="11">
        <v>0</v>
      </c>
      <c r="F13" s="27" t="s">
        <v>50</v>
      </c>
      <c r="G13" s="343" t="s">
        <v>422</v>
      </c>
      <c r="H13" s="165">
        <v>0</v>
      </c>
      <c r="I13" s="436">
        <v>3.0680270444531432</v>
      </c>
      <c r="J13" s="5">
        <v>48</v>
      </c>
      <c r="K13" s="60" t="s">
        <v>49</v>
      </c>
      <c r="L13" s="289">
        <v>34.284884485691549</v>
      </c>
      <c r="M13" s="56" t="s">
        <v>50</v>
      </c>
      <c r="N13" s="15" t="s">
        <v>6</v>
      </c>
      <c r="O13" s="84">
        <v>-0.84773110958963227</v>
      </c>
      <c r="P13" s="517">
        <v>-10536.708069929618</v>
      </c>
      <c r="Q13" s="384">
        <v>1372.3808171460253</v>
      </c>
      <c r="R13" s="384">
        <v>-8400.0351194648829</v>
      </c>
      <c r="S13" s="384">
        <v>-175.61180116549363</v>
      </c>
      <c r="T13" s="501">
        <v>-10536.708069929618</v>
      </c>
      <c r="U13" s="384">
        <v>1372.3808171460253</v>
      </c>
      <c r="V13" s="501">
        <v>86.368635146614878</v>
      </c>
      <c r="W13" s="501">
        <v>65.835199742492023</v>
      </c>
      <c r="X13" s="501">
        <v>258.74545469945258</v>
      </c>
      <c r="Y13" s="501">
        <v>-1387.3905000915843</v>
      </c>
      <c r="Z13" s="536">
        <v>-1044.157279912899</v>
      </c>
      <c r="AA13" s="497">
        <v>-1.4088491435567878</v>
      </c>
      <c r="AB13" s="498">
        <v>279.27889010357541</v>
      </c>
      <c r="AC13" s="499">
        <v>5350.0399528462867</v>
      </c>
      <c r="AD13" s="11">
        <v>-9810.0717137369356</v>
      </c>
      <c r="AE13" s="11">
        <v>-2096.7505148023474</v>
      </c>
      <c r="AF13" s="477">
        <v>83.44</v>
      </c>
      <c r="AH13" s="62"/>
      <c r="AI13" s="478"/>
      <c r="AJ13" s="479"/>
      <c r="AK13" s="480"/>
      <c r="AL13" s="481"/>
    </row>
    <row r="14" spans="1:38" ht="15" customHeight="1">
      <c r="A14" s="284">
        <v>2</v>
      </c>
      <c r="B14" s="143" t="s">
        <v>233</v>
      </c>
      <c r="C14" s="166" t="s">
        <v>233</v>
      </c>
      <c r="D14" s="357" t="s">
        <v>233</v>
      </c>
      <c r="E14" s="358" t="s">
        <v>233</v>
      </c>
      <c r="F14" s="359" t="s">
        <v>233</v>
      </c>
      <c r="G14" s="360" t="s">
        <v>233</v>
      </c>
      <c r="H14" s="10" t="s">
        <v>233</v>
      </c>
      <c r="I14" s="436" t="s">
        <v>233</v>
      </c>
      <c r="J14" s="5" t="s">
        <v>233</v>
      </c>
      <c r="K14" s="60" t="s">
        <v>233</v>
      </c>
      <c r="L14" s="289" t="s">
        <v>233</v>
      </c>
      <c r="M14" s="56" t="s">
        <v>233</v>
      </c>
      <c r="N14" s="15" t="s">
        <v>233</v>
      </c>
      <c r="O14" s="84" t="s">
        <v>233</v>
      </c>
      <c r="P14" s="517" t="s">
        <v>233</v>
      </c>
      <c r="Q14" s="384" t="s">
        <v>233</v>
      </c>
      <c r="R14" s="384" t="s">
        <v>233</v>
      </c>
      <c r="S14" s="384" t="s">
        <v>233</v>
      </c>
      <c r="T14" s="501" t="s">
        <v>233</v>
      </c>
      <c r="U14" s="384" t="s">
        <v>233</v>
      </c>
      <c r="V14" s="501" t="s">
        <v>233</v>
      </c>
      <c r="W14" s="501" t="s">
        <v>233</v>
      </c>
      <c r="X14" s="501" t="s">
        <v>233</v>
      </c>
      <c r="Y14" s="501" t="s">
        <v>233</v>
      </c>
      <c r="Z14" s="536" t="s">
        <v>233</v>
      </c>
      <c r="AA14" s="497" t="s">
        <v>233</v>
      </c>
      <c r="AB14" s="498" t="s">
        <v>233</v>
      </c>
      <c r="AC14" s="499" t="s">
        <v>233</v>
      </c>
      <c r="AD14" s="11">
        <v>-11906.822228539284</v>
      </c>
      <c r="AE14" s="11" t="e">
        <v>#VALUE!</v>
      </c>
      <c r="AF14" s="477">
        <v>86.43</v>
      </c>
    </row>
    <row r="15" spans="1:38" ht="15" customHeight="1">
      <c r="A15" s="284">
        <v>3</v>
      </c>
      <c r="B15" s="143" t="s">
        <v>233</v>
      </c>
      <c r="C15" s="166" t="s">
        <v>233</v>
      </c>
      <c r="D15" s="357" t="s">
        <v>233</v>
      </c>
      <c r="E15" s="358" t="s">
        <v>233</v>
      </c>
      <c r="F15" s="359" t="s">
        <v>233</v>
      </c>
      <c r="G15" s="360" t="s">
        <v>233</v>
      </c>
      <c r="H15" s="10" t="s">
        <v>233</v>
      </c>
      <c r="I15" s="436" t="s">
        <v>233</v>
      </c>
      <c r="J15" s="5" t="s">
        <v>233</v>
      </c>
      <c r="K15" s="60" t="s">
        <v>233</v>
      </c>
      <c r="L15" s="289" t="s">
        <v>233</v>
      </c>
      <c r="M15" s="56" t="s">
        <v>233</v>
      </c>
      <c r="N15" s="15" t="s">
        <v>233</v>
      </c>
      <c r="O15" s="84" t="s">
        <v>233</v>
      </c>
      <c r="P15" s="517" t="s">
        <v>233</v>
      </c>
      <c r="Q15" s="384" t="s">
        <v>233</v>
      </c>
      <c r="R15" s="384" t="s">
        <v>233</v>
      </c>
      <c r="S15" s="384" t="s">
        <v>233</v>
      </c>
      <c r="T15" s="501" t="s">
        <v>233</v>
      </c>
      <c r="U15" s="384" t="s">
        <v>233</v>
      </c>
      <c r="V15" s="501" t="s">
        <v>233</v>
      </c>
      <c r="W15" s="501" t="s">
        <v>233</v>
      </c>
      <c r="X15" s="501" t="s">
        <v>233</v>
      </c>
      <c r="Y15" s="501" t="s">
        <v>233</v>
      </c>
      <c r="Z15" s="536" t="s">
        <v>233</v>
      </c>
      <c r="AA15" s="497" t="s">
        <v>233</v>
      </c>
      <c r="AB15" s="498" t="s">
        <v>233</v>
      </c>
      <c r="AC15" s="499" t="s">
        <v>233</v>
      </c>
      <c r="AD15" s="11" t="e">
        <v>#VALUE!</v>
      </c>
      <c r="AE15" s="11" t="e">
        <v>#VALUE!</v>
      </c>
      <c r="AF15" s="477" t="e">
        <v>#VALUE!</v>
      </c>
    </row>
    <row r="16" spans="1:38" ht="15" customHeight="1">
      <c r="A16" s="284">
        <v>4</v>
      </c>
      <c r="B16" s="143" t="s">
        <v>233</v>
      </c>
      <c r="C16" s="166" t="s">
        <v>233</v>
      </c>
      <c r="D16" s="357" t="s">
        <v>233</v>
      </c>
      <c r="E16" s="358" t="s">
        <v>233</v>
      </c>
      <c r="F16" s="359" t="s">
        <v>233</v>
      </c>
      <c r="G16" s="360" t="s">
        <v>233</v>
      </c>
      <c r="H16" s="10" t="s">
        <v>233</v>
      </c>
      <c r="I16" s="436" t="s">
        <v>233</v>
      </c>
      <c r="J16" s="5" t="s">
        <v>233</v>
      </c>
      <c r="K16" s="60" t="s">
        <v>233</v>
      </c>
      <c r="L16" s="289" t="s">
        <v>233</v>
      </c>
      <c r="M16" s="56" t="s">
        <v>233</v>
      </c>
      <c r="N16" s="15" t="s">
        <v>233</v>
      </c>
      <c r="O16" s="84" t="s">
        <v>233</v>
      </c>
      <c r="P16" s="517" t="s">
        <v>233</v>
      </c>
      <c r="Q16" s="384" t="s">
        <v>233</v>
      </c>
      <c r="R16" s="384" t="s">
        <v>233</v>
      </c>
      <c r="S16" s="384" t="s">
        <v>233</v>
      </c>
      <c r="T16" s="501" t="s">
        <v>233</v>
      </c>
      <c r="U16" s="384" t="s">
        <v>233</v>
      </c>
      <c r="V16" s="501" t="s">
        <v>233</v>
      </c>
      <c r="W16" s="501" t="s">
        <v>233</v>
      </c>
      <c r="X16" s="501" t="s">
        <v>233</v>
      </c>
      <c r="Y16" s="501" t="s">
        <v>233</v>
      </c>
      <c r="Z16" s="536" t="s">
        <v>233</v>
      </c>
      <c r="AA16" s="497" t="s">
        <v>233</v>
      </c>
      <c r="AB16" s="498" t="s">
        <v>233</v>
      </c>
      <c r="AC16" s="499" t="s">
        <v>233</v>
      </c>
      <c r="AD16" s="11" t="e">
        <v>#VALUE!</v>
      </c>
      <c r="AE16" s="11" t="e">
        <v>#VALUE!</v>
      </c>
      <c r="AF16" s="477" t="e">
        <v>#VALUE!</v>
      </c>
    </row>
    <row r="17" spans="1:32" ht="15" customHeight="1">
      <c r="A17" s="284">
        <v>5</v>
      </c>
      <c r="B17" s="143" t="s">
        <v>233</v>
      </c>
      <c r="C17" s="166" t="s">
        <v>233</v>
      </c>
      <c r="D17" s="357" t="s">
        <v>233</v>
      </c>
      <c r="E17" s="358" t="s">
        <v>233</v>
      </c>
      <c r="F17" s="359" t="s">
        <v>233</v>
      </c>
      <c r="G17" s="360" t="s">
        <v>233</v>
      </c>
      <c r="H17" s="10" t="s">
        <v>233</v>
      </c>
      <c r="I17" s="436" t="s">
        <v>233</v>
      </c>
      <c r="J17" s="5" t="s">
        <v>233</v>
      </c>
      <c r="K17" s="60" t="s">
        <v>233</v>
      </c>
      <c r="L17" s="289" t="s">
        <v>233</v>
      </c>
      <c r="M17" s="56" t="s">
        <v>233</v>
      </c>
      <c r="N17" s="15" t="s">
        <v>233</v>
      </c>
      <c r="O17" s="84" t="s">
        <v>233</v>
      </c>
      <c r="P17" s="517" t="s">
        <v>233</v>
      </c>
      <c r="Q17" s="384" t="s">
        <v>233</v>
      </c>
      <c r="R17" s="384" t="s">
        <v>233</v>
      </c>
      <c r="S17" s="384" t="s">
        <v>233</v>
      </c>
      <c r="T17" s="501" t="s">
        <v>233</v>
      </c>
      <c r="U17" s="384" t="s">
        <v>233</v>
      </c>
      <c r="V17" s="501" t="s">
        <v>233</v>
      </c>
      <c r="W17" s="501" t="s">
        <v>233</v>
      </c>
      <c r="X17" s="501" t="s">
        <v>233</v>
      </c>
      <c r="Y17" s="501" t="s">
        <v>233</v>
      </c>
      <c r="Z17" s="536" t="s">
        <v>233</v>
      </c>
      <c r="AA17" s="497" t="s">
        <v>233</v>
      </c>
      <c r="AB17" s="498" t="s">
        <v>233</v>
      </c>
      <c r="AC17" s="499" t="s">
        <v>233</v>
      </c>
      <c r="AD17" s="11" t="e">
        <v>#VALUE!</v>
      </c>
      <c r="AE17" s="11" t="e">
        <v>#VALUE!</v>
      </c>
      <c r="AF17" s="477" t="e">
        <v>#VALUE!</v>
      </c>
    </row>
    <row r="18" spans="1:32" ht="15" customHeight="1">
      <c r="A18" s="284">
        <v>6</v>
      </c>
      <c r="B18" s="143" t="s">
        <v>233</v>
      </c>
      <c r="C18" s="166" t="s">
        <v>233</v>
      </c>
      <c r="D18" s="134" t="s">
        <v>233</v>
      </c>
      <c r="E18" s="340" t="s">
        <v>233</v>
      </c>
      <c r="F18" s="136" t="s">
        <v>233</v>
      </c>
      <c r="G18" s="144" t="s">
        <v>233</v>
      </c>
      <c r="H18" s="10" t="s">
        <v>233</v>
      </c>
      <c r="I18" s="436" t="s">
        <v>233</v>
      </c>
      <c r="J18" s="5" t="s">
        <v>233</v>
      </c>
      <c r="K18" s="60" t="s">
        <v>233</v>
      </c>
      <c r="L18" s="289" t="s">
        <v>233</v>
      </c>
      <c r="M18" s="56" t="s">
        <v>233</v>
      </c>
      <c r="N18" s="15" t="s">
        <v>233</v>
      </c>
      <c r="O18" s="84" t="s">
        <v>233</v>
      </c>
      <c r="P18" s="517" t="s">
        <v>233</v>
      </c>
      <c r="Q18" s="384" t="s">
        <v>233</v>
      </c>
      <c r="R18" s="384" t="s">
        <v>233</v>
      </c>
      <c r="S18" s="384" t="s">
        <v>233</v>
      </c>
      <c r="T18" s="501" t="s">
        <v>233</v>
      </c>
      <c r="U18" s="384" t="s">
        <v>233</v>
      </c>
      <c r="V18" s="501" t="s">
        <v>233</v>
      </c>
      <c r="W18" s="501" t="s">
        <v>233</v>
      </c>
      <c r="X18" s="501" t="s">
        <v>233</v>
      </c>
      <c r="Y18" s="501" t="s">
        <v>233</v>
      </c>
      <c r="Z18" s="536" t="s">
        <v>233</v>
      </c>
      <c r="AA18" s="497" t="s">
        <v>233</v>
      </c>
      <c r="AB18" s="498" t="s">
        <v>233</v>
      </c>
      <c r="AC18" s="499" t="s">
        <v>233</v>
      </c>
      <c r="AD18" s="11" t="e">
        <v>#VALUE!</v>
      </c>
      <c r="AE18" s="11" t="e">
        <v>#VALUE!</v>
      </c>
      <c r="AF18" s="477" t="e">
        <v>#VALUE!</v>
      </c>
    </row>
    <row r="19" spans="1:32" ht="15" customHeight="1">
      <c r="A19" s="284">
        <v>7</v>
      </c>
      <c r="B19" s="143" t="s">
        <v>233</v>
      </c>
      <c r="C19" s="166" t="s">
        <v>233</v>
      </c>
      <c r="D19" s="134" t="s">
        <v>233</v>
      </c>
      <c r="E19" s="340" t="s">
        <v>233</v>
      </c>
      <c r="F19" s="136" t="s">
        <v>233</v>
      </c>
      <c r="G19" s="144" t="s">
        <v>233</v>
      </c>
      <c r="H19" s="10" t="s">
        <v>233</v>
      </c>
      <c r="I19" s="436" t="s">
        <v>233</v>
      </c>
      <c r="J19" s="5" t="s">
        <v>233</v>
      </c>
      <c r="K19" s="60" t="s">
        <v>233</v>
      </c>
      <c r="L19" s="289" t="s">
        <v>233</v>
      </c>
      <c r="M19" s="56" t="s">
        <v>233</v>
      </c>
      <c r="N19" s="15" t="s">
        <v>233</v>
      </c>
      <c r="O19" s="84" t="s">
        <v>233</v>
      </c>
      <c r="P19" s="517" t="s">
        <v>233</v>
      </c>
      <c r="Q19" s="384" t="s">
        <v>233</v>
      </c>
      <c r="R19" s="384" t="s">
        <v>233</v>
      </c>
      <c r="S19" s="384" t="s">
        <v>233</v>
      </c>
      <c r="T19" s="501" t="s">
        <v>233</v>
      </c>
      <c r="U19" s="384" t="s">
        <v>233</v>
      </c>
      <c r="V19" s="501" t="s">
        <v>233</v>
      </c>
      <c r="W19" s="501" t="s">
        <v>233</v>
      </c>
      <c r="X19" s="501" t="s">
        <v>233</v>
      </c>
      <c r="Y19" s="501" t="s">
        <v>233</v>
      </c>
      <c r="Z19" s="536" t="s">
        <v>233</v>
      </c>
      <c r="AA19" s="497" t="s">
        <v>233</v>
      </c>
      <c r="AB19" s="498" t="s">
        <v>233</v>
      </c>
      <c r="AC19" s="499" t="s">
        <v>233</v>
      </c>
      <c r="AD19" s="11" t="e">
        <v>#VALUE!</v>
      </c>
      <c r="AE19" s="11" t="e">
        <v>#VALUE!</v>
      </c>
      <c r="AF19" s="477" t="e">
        <v>#VALUE!</v>
      </c>
    </row>
    <row r="20" spans="1:32" ht="15" customHeight="1">
      <c r="A20" s="284">
        <v>8</v>
      </c>
      <c r="B20" s="143" t="s">
        <v>233</v>
      </c>
      <c r="C20" s="166" t="s">
        <v>233</v>
      </c>
      <c r="D20" s="134" t="s">
        <v>233</v>
      </c>
      <c r="E20" s="340" t="s">
        <v>233</v>
      </c>
      <c r="F20" s="136" t="s">
        <v>233</v>
      </c>
      <c r="G20" s="144" t="s">
        <v>233</v>
      </c>
      <c r="H20" s="10" t="s">
        <v>233</v>
      </c>
      <c r="I20" s="436" t="s">
        <v>233</v>
      </c>
      <c r="J20" s="5" t="s">
        <v>233</v>
      </c>
      <c r="K20" s="60" t="s">
        <v>233</v>
      </c>
      <c r="L20" s="289" t="s">
        <v>233</v>
      </c>
      <c r="M20" s="56" t="s">
        <v>233</v>
      </c>
      <c r="N20" s="15" t="s">
        <v>233</v>
      </c>
      <c r="O20" s="84" t="s">
        <v>233</v>
      </c>
      <c r="P20" s="517" t="s">
        <v>233</v>
      </c>
      <c r="Q20" s="384" t="s">
        <v>233</v>
      </c>
      <c r="R20" s="384" t="s">
        <v>233</v>
      </c>
      <c r="S20" s="384" t="s">
        <v>233</v>
      </c>
      <c r="T20" s="501" t="s">
        <v>233</v>
      </c>
      <c r="U20" s="384" t="s">
        <v>233</v>
      </c>
      <c r="V20" s="501" t="s">
        <v>233</v>
      </c>
      <c r="W20" s="501" t="s">
        <v>233</v>
      </c>
      <c r="X20" s="501" t="s">
        <v>233</v>
      </c>
      <c r="Y20" s="501" t="s">
        <v>233</v>
      </c>
      <c r="Z20" s="536" t="s">
        <v>233</v>
      </c>
      <c r="AA20" s="497" t="s">
        <v>233</v>
      </c>
      <c r="AB20" s="498" t="s">
        <v>233</v>
      </c>
      <c r="AC20" s="499" t="s">
        <v>233</v>
      </c>
      <c r="AD20" s="11" t="e">
        <v>#VALUE!</v>
      </c>
      <c r="AE20" s="11" t="e">
        <v>#VALUE!</v>
      </c>
      <c r="AF20" s="477" t="e">
        <v>#VALUE!</v>
      </c>
    </row>
    <row r="21" spans="1:32" ht="15" customHeight="1">
      <c r="A21" s="284">
        <v>9</v>
      </c>
      <c r="B21" s="143" t="s">
        <v>233</v>
      </c>
      <c r="C21" s="166" t="s">
        <v>233</v>
      </c>
      <c r="D21" s="134" t="s">
        <v>233</v>
      </c>
      <c r="E21" s="340" t="s">
        <v>233</v>
      </c>
      <c r="F21" s="136" t="s">
        <v>233</v>
      </c>
      <c r="G21" s="144" t="s">
        <v>233</v>
      </c>
      <c r="H21" s="10" t="s">
        <v>233</v>
      </c>
      <c r="I21" s="436" t="s">
        <v>233</v>
      </c>
      <c r="J21" s="5" t="s">
        <v>233</v>
      </c>
      <c r="K21" s="60" t="s">
        <v>233</v>
      </c>
      <c r="L21" s="289" t="s">
        <v>233</v>
      </c>
      <c r="M21" s="56" t="s">
        <v>233</v>
      </c>
      <c r="N21" s="15" t="s">
        <v>233</v>
      </c>
      <c r="O21" s="84" t="s">
        <v>233</v>
      </c>
      <c r="P21" s="517" t="s">
        <v>233</v>
      </c>
      <c r="Q21" s="384" t="s">
        <v>233</v>
      </c>
      <c r="R21" s="384" t="s">
        <v>233</v>
      </c>
      <c r="S21" s="384" t="s">
        <v>233</v>
      </c>
      <c r="T21" s="501" t="s">
        <v>233</v>
      </c>
      <c r="U21" s="384" t="s">
        <v>233</v>
      </c>
      <c r="V21" s="501" t="s">
        <v>233</v>
      </c>
      <c r="W21" s="501" t="s">
        <v>233</v>
      </c>
      <c r="X21" s="501" t="s">
        <v>233</v>
      </c>
      <c r="Y21" s="501" t="s">
        <v>233</v>
      </c>
      <c r="Z21" s="536" t="s">
        <v>233</v>
      </c>
      <c r="AA21" s="497" t="s">
        <v>233</v>
      </c>
      <c r="AB21" s="498" t="s">
        <v>233</v>
      </c>
      <c r="AC21" s="499" t="s">
        <v>233</v>
      </c>
      <c r="AD21" s="11" t="e">
        <v>#VALUE!</v>
      </c>
      <c r="AE21" s="11" t="e">
        <v>#VALUE!</v>
      </c>
      <c r="AF21" s="477" t="e">
        <v>#VALUE!</v>
      </c>
    </row>
    <row r="22" spans="1:32" ht="15" customHeight="1">
      <c r="A22" s="284">
        <v>10</v>
      </c>
      <c r="B22" s="143" t="s">
        <v>233</v>
      </c>
      <c r="C22" s="166" t="s">
        <v>233</v>
      </c>
      <c r="D22" s="134" t="s">
        <v>233</v>
      </c>
      <c r="E22" s="340" t="s">
        <v>233</v>
      </c>
      <c r="F22" s="136" t="s">
        <v>233</v>
      </c>
      <c r="G22" s="144" t="s">
        <v>233</v>
      </c>
      <c r="H22" s="10" t="s">
        <v>233</v>
      </c>
      <c r="I22" s="436" t="s">
        <v>233</v>
      </c>
      <c r="J22" s="5" t="s">
        <v>233</v>
      </c>
      <c r="K22" s="60" t="s">
        <v>233</v>
      </c>
      <c r="L22" s="289" t="s">
        <v>233</v>
      </c>
      <c r="M22" s="56" t="s">
        <v>233</v>
      </c>
      <c r="N22" s="15" t="s">
        <v>233</v>
      </c>
      <c r="O22" s="84" t="s">
        <v>233</v>
      </c>
      <c r="P22" s="517" t="s">
        <v>233</v>
      </c>
      <c r="Q22" s="384" t="s">
        <v>233</v>
      </c>
      <c r="R22" s="384" t="s">
        <v>233</v>
      </c>
      <c r="S22" s="384" t="s">
        <v>233</v>
      </c>
      <c r="T22" s="501" t="s">
        <v>233</v>
      </c>
      <c r="U22" s="384" t="s">
        <v>233</v>
      </c>
      <c r="V22" s="501" t="s">
        <v>233</v>
      </c>
      <c r="W22" s="501" t="s">
        <v>233</v>
      </c>
      <c r="X22" s="501" t="s">
        <v>233</v>
      </c>
      <c r="Y22" s="501" t="s">
        <v>233</v>
      </c>
      <c r="Z22" s="536" t="s">
        <v>233</v>
      </c>
      <c r="AA22" s="497" t="s">
        <v>233</v>
      </c>
      <c r="AB22" s="498" t="s">
        <v>233</v>
      </c>
      <c r="AC22" s="499" t="s">
        <v>233</v>
      </c>
      <c r="AD22" s="11" t="e">
        <v>#VALUE!</v>
      </c>
      <c r="AE22" s="11" t="e">
        <v>#VALUE!</v>
      </c>
      <c r="AF22" s="477" t="e">
        <v>#VALUE!</v>
      </c>
    </row>
    <row r="23" spans="1:32" ht="15" customHeight="1">
      <c r="A23" s="284">
        <v>11</v>
      </c>
      <c r="B23" s="143" t="s">
        <v>233</v>
      </c>
      <c r="C23" s="166" t="s">
        <v>233</v>
      </c>
      <c r="D23" s="134" t="s">
        <v>233</v>
      </c>
      <c r="E23" s="340" t="s">
        <v>233</v>
      </c>
      <c r="F23" s="136" t="s">
        <v>233</v>
      </c>
      <c r="G23" s="144" t="s">
        <v>233</v>
      </c>
      <c r="H23" s="10" t="s">
        <v>233</v>
      </c>
      <c r="I23" s="436" t="s">
        <v>233</v>
      </c>
      <c r="J23" s="5" t="s">
        <v>233</v>
      </c>
      <c r="K23" s="60" t="s">
        <v>233</v>
      </c>
      <c r="L23" s="289" t="s">
        <v>233</v>
      </c>
      <c r="M23" s="56" t="s">
        <v>233</v>
      </c>
      <c r="N23" s="15" t="s">
        <v>233</v>
      </c>
      <c r="O23" s="84" t="s">
        <v>233</v>
      </c>
      <c r="P23" s="517" t="s">
        <v>233</v>
      </c>
      <c r="Q23" s="384" t="s">
        <v>233</v>
      </c>
      <c r="R23" s="329" t="s">
        <v>233</v>
      </c>
      <c r="S23" s="329" t="s">
        <v>233</v>
      </c>
      <c r="T23" s="658" t="s">
        <v>233</v>
      </c>
      <c r="U23" s="329" t="s">
        <v>233</v>
      </c>
      <c r="V23" s="501" t="s">
        <v>233</v>
      </c>
      <c r="W23" s="658" t="s">
        <v>233</v>
      </c>
      <c r="X23" s="658" t="s">
        <v>233</v>
      </c>
      <c r="Y23" s="658" t="s">
        <v>233</v>
      </c>
      <c r="Z23" s="659" t="s">
        <v>233</v>
      </c>
      <c r="AA23" s="330" t="s">
        <v>233</v>
      </c>
      <c r="AB23" s="331" t="s">
        <v>233</v>
      </c>
      <c r="AC23" s="118" t="s">
        <v>233</v>
      </c>
      <c r="AD23" s="11" t="e">
        <v>#VALUE!</v>
      </c>
      <c r="AE23" s="11" t="e">
        <v>#VALUE!</v>
      </c>
      <c r="AF23" s="477" t="e">
        <v>#VALUE!</v>
      </c>
    </row>
    <row r="24" spans="1:32" ht="15" customHeight="1">
      <c r="A24" s="284">
        <v>12</v>
      </c>
      <c r="B24" s="143" t="s">
        <v>233</v>
      </c>
      <c r="C24" s="166" t="s">
        <v>233</v>
      </c>
      <c r="D24" s="134" t="s">
        <v>233</v>
      </c>
      <c r="E24" s="340" t="s">
        <v>233</v>
      </c>
      <c r="F24" s="136" t="s">
        <v>233</v>
      </c>
      <c r="G24" s="144" t="s">
        <v>233</v>
      </c>
      <c r="H24" s="10" t="s">
        <v>233</v>
      </c>
      <c r="I24" s="436" t="s">
        <v>233</v>
      </c>
      <c r="J24" s="5" t="s">
        <v>233</v>
      </c>
      <c r="K24" s="60" t="s">
        <v>233</v>
      </c>
      <c r="L24" s="289" t="s">
        <v>233</v>
      </c>
      <c r="M24" s="56" t="s">
        <v>233</v>
      </c>
      <c r="N24" s="15" t="s">
        <v>233</v>
      </c>
      <c r="O24" s="84" t="s">
        <v>233</v>
      </c>
      <c r="P24" s="517" t="s">
        <v>233</v>
      </c>
      <c r="Q24" s="384" t="s">
        <v>233</v>
      </c>
      <c r="R24" s="329" t="s">
        <v>233</v>
      </c>
      <c r="S24" s="329" t="s">
        <v>233</v>
      </c>
      <c r="T24" s="658" t="s">
        <v>233</v>
      </c>
      <c r="U24" s="329" t="s">
        <v>233</v>
      </c>
      <c r="V24" s="501" t="s">
        <v>233</v>
      </c>
      <c r="W24" s="658" t="s">
        <v>233</v>
      </c>
      <c r="X24" s="658" t="s">
        <v>233</v>
      </c>
      <c r="Y24" s="658" t="s">
        <v>233</v>
      </c>
      <c r="Z24" s="659" t="s">
        <v>233</v>
      </c>
      <c r="AA24" s="330" t="s">
        <v>233</v>
      </c>
      <c r="AB24" s="331" t="s">
        <v>233</v>
      </c>
      <c r="AC24" s="118" t="s">
        <v>233</v>
      </c>
      <c r="AD24" s="11" t="e">
        <v>#VALUE!</v>
      </c>
      <c r="AE24" s="11" t="e">
        <v>#VALUE!</v>
      </c>
      <c r="AF24" s="477" t="e">
        <v>#VALUE!</v>
      </c>
    </row>
    <row r="25" spans="1:32" ht="15" customHeight="1">
      <c r="A25" s="202">
        <v>13</v>
      </c>
      <c r="B25" s="143" t="s">
        <v>233</v>
      </c>
      <c r="C25" s="166" t="s">
        <v>233</v>
      </c>
      <c r="D25" s="134" t="s">
        <v>233</v>
      </c>
      <c r="E25" s="340" t="s">
        <v>233</v>
      </c>
      <c r="F25" s="136" t="s">
        <v>233</v>
      </c>
      <c r="G25" s="144" t="s">
        <v>233</v>
      </c>
      <c r="H25" s="10" t="s">
        <v>233</v>
      </c>
      <c r="I25" s="436" t="s">
        <v>233</v>
      </c>
      <c r="J25" s="5" t="s">
        <v>233</v>
      </c>
      <c r="K25" s="60" t="s">
        <v>233</v>
      </c>
      <c r="L25" s="289" t="s">
        <v>233</v>
      </c>
      <c r="M25" s="56" t="s">
        <v>233</v>
      </c>
      <c r="N25" s="15" t="s">
        <v>233</v>
      </c>
      <c r="O25" s="84" t="s">
        <v>233</v>
      </c>
      <c r="P25" s="517" t="s">
        <v>233</v>
      </c>
      <c r="Q25" s="384" t="s">
        <v>233</v>
      </c>
      <c r="R25" s="329" t="s">
        <v>233</v>
      </c>
      <c r="S25" s="329" t="s">
        <v>233</v>
      </c>
      <c r="T25" s="658" t="s">
        <v>233</v>
      </c>
      <c r="U25" s="329" t="s">
        <v>233</v>
      </c>
      <c r="V25" s="501" t="s">
        <v>233</v>
      </c>
      <c r="W25" s="658" t="s">
        <v>233</v>
      </c>
      <c r="X25" s="658" t="s">
        <v>233</v>
      </c>
      <c r="Y25" s="658" t="s">
        <v>233</v>
      </c>
      <c r="Z25" s="659" t="s">
        <v>233</v>
      </c>
      <c r="AA25" s="330" t="s">
        <v>233</v>
      </c>
      <c r="AB25" s="331" t="s">
        <v>233</v>
      </c>
      <c r="AC25" s="118" t="s">
        <v>233</v>
      </c>
      <c r="AD25" s="11" t="e">
        <v>#VALUE!</v>
      </c>
      <c r="AE25" s="11" t="e">
        <v>#VALUE!</v>
      </c>
      <c r="AF25" s="477" t="e">
        <v>#VALUE!</v>
      </c>
    </row>
    <row r="26" spans="1:32" ht="15" customHeight="1">
      <c r="A26" s="202">
        <v>14</v>
      </c>
      <c r="B26" s="143" t="s">
        <v>233</v>
      </c>
      <c r="C26" s="166" t="s">
        <v>233</v>
      </c>
      <c r="D26" s="134" t="s">
        <v>233</v>
      </c>
      <c r="E26" s="340" t="s">
        <v>233</v>
      </c>
      <c r="F26" s="136" t="s">
        <v>233</v>
      </c>
      <c r="G26" s="144" t="s">
        <v>233</v>
      </c>
      <c r="H26" s="10" t="s">
        <v>233</v>
      </c>
      <c r="I26" s="436" t="s">
        <v>233</v>
      </c>
      <c r="J26" s="5" t="s">
        <v>233</v>
      </c>
      <c r="K26" s="60" t="s">
        <v>233</v>
      </c>
      <c r="L26" s="289" t="s">
        <v>233</v>
      </c>
      <c r="M26" s="56" t="s">
        <v>233</v>
      </c>
      <c r="N26" s="15" t="s">
        <v>233</v>
      </c>
      <c r="O26" s="84" t="s">
        <v>233</v>
      </c>
      <c r="P26" s="517" t="s">
        <v>233</v>
      </c>
      <c r="Q26" s="384" t="s">
        <v>233</v>
      </c>
      <c r="R26" s="329" t="s">
        <v>233</v>
      </c>
      <c r="S26" s="329" t="s">
        <v>233</v>
      </c>
      <c r="T26" s="658" t="s">
        <v>233</v>
      </c>
      <c r="U26" s="329" t="s">
        <v>233</v>
      </c>
      <c r="V26" s="501" t="s">
        <v>233</v>
      </c>
      <c r="W26" s="658" t="s">
        <v>233</v>
      </c>
      <c r="X26" s="658" t="s">
        <v>233</v>
      </c>
      <c r="Y26" s="658" t="s">
        <v>233</v>
      </c>
      <c r="Z26" s="659" t="s">
        <v>233</v>
      </c>
      <c r="AA26" s="330" t="s">
        <v>233</v>
      </c>
      <c r="AB26" s="331" t="s">
        <v>233</v>
      </c>
      <c r="AC26" s="118" t="s">
        <v>233</v>
      </c>
      <c r="AD26" s="11" t="e">
        <v>#VALUE!</v>
      </c>
      <c r="AE26" s="11" t="e">
        <v>#VALUE!</v>
      </c>
      <c r="AF26" s="477" t="e">
        <v>#VALUE!</v>
      </c>
    </row>
    <row r="27" spans="1:32" ht="15" customHeight="1">
      <c r="A27" s="284">
        <v>15</v>
      </c>
      <c r="B27" s="143" t="s">
        <v>233</v>
      </c>
      <c r="C27" s="166" t="s">
        <v>233</v>
      </c>
      <c r="D27" s="134" t="s">
        <v>233</v>
      </c>
      <c r="E27" s="340" t="s">
        <v>233</v>
      </c>
      <c r="F27" s="136" t="s">
        <v>233</v>
      </c>
      <c r="G27" s="144" t="s">
        <v>233</v>
      </c>
      <c r="H27" s="10" t="s">
        <v>233</v>
      </c>
      <c r="I27" s="436" t="s">
        <v>233</v>
      </c>
      <c r="J27" s="5" t="s">
        <v>233</v>
      </c>
      <c r="K27" s="60" t="s">
        <v>233</v>
      </c>
      <c r="L27" s="289" t="s">
        <v>233</v>
      </c>
      <c r="M27" s="56" t="s">
        <v>233</v>
      </c>
      <c r="N27" s="15" t="s">
        <v>233</v>
      </c>
      <c r="O27" s="84" t="s">
        <v>233</v>
      </c>
      <c r="P27" s="517" t="s">
        <v>233</v>
      </c>
      <c r="Q27" s="384" t="s">
        <v>233</v>
      </c>
      <c r="R27" s="329" t="s">
        <v>233</v>
      </c>
      <c r="S27" s="329" t="s">
        <v>233</v>
      </c>
      <c r="T27" s="658" t="s">
        <v>233</v>
      </c>
      <c r="U27" s="329" t="s">
        <v>233</v>
      </c>
      <c r="V27" s="501" t="s">
        <v>233</v>
      </c>
      <c r="W27" s="658" t="s">
        <v>233</v>
      </c>
      <c r="X27" s="658" t="s">
        <v>233</v>
      </c>
      <c r="Y27" s="658" t="s">
        <v>233</v>
      </c>
      <c r="Z27" s="659" t="s">
        <v>233</v>
      </c>
      <c r="AA27" s="330" t="s">
        <v>233</v>
      </c>
      <c r="AB27" s="331" t="s">
        <v>233</v>
      </c>
      <c r="AC27" s="118" t="s">
        <v>233</v>
      </c>
      <c r="AD27" s="11" t="e">
        <v>#VALUE!</v>
      </c>
      <c r="AE27" s="11" t="e">
        <v>#VALUE!</v>
      </c>
      <c r="AF27" s="477" t="e">
        <v>#VALUE!</v>
      </c>
    </row>
    <row r="28" spans="1:32" ht="15" customHeight="1">
      <c r="A28" s="284">
        <v>16</v>
      </c>
      <c r="B28" s="143" t="s">
        <v>233</v>
      </c>
      <c r="C28" s="166" t="s">
        <v>233</v>
      </c>
      <c r="D28" s="134" t="s">
        <v>233</v>
      </c>
      <c r="E28" s="340" t="s">
        <v>233</v>
      </c>
      <c r="F28" s="136" t="s">
        <v>233</v>
      </c>
      <c r="G28" s="144" t="s">
        <v>233</v>
      </c>
      <c r="H28" s="10" t="s">
        <v>233</v>
      </c>
      <c r="I28" s="436" t="s">
        <v>233</v>
      </c>
      <c r="J28" s="5" t="s">
        <v>233</v>
      </c>
      <c r="K28" s="60" t="s">
        <v>233</v>
      </c>
      <c r="L28" s="289" t="s">
        <v>233</v>
      </c>
      <c r="M28" s="56" t="s">
        <v>233</v>
      </c>
      <c r="N28" s="15" t="s">
        <v>233</v>
      </c>
      <c r="O28" s="84" t="s">
        <v>233</v>
      </c>
      <c r="P28" s="517" t="s">
        <v>233</v>
      </c>
      <c r="Q28" s="384" t="s">
        <v>233</v>
      </c>
      <c r="R28" s="329" t="s">
        <v>233</v>
      </c>
      <c r="S28" s="329" t="s">
        <v>233</v>
      </c>
      <c r="T28" s="117" t="s">
        <v>233</v>
      </c>
      <c r="U28" s="329" t="s">
        <v>233</v>
      </c>
      <c r="V28" s="501" t="s">
        <v>233</v>
      </c>
      <c r="W28" s="117" t="s">
        <v>233</v>
      </c>
      <c r="X28" s="117" t="s">
        <v>233</v>
      </c>
      <c r="Y28" s="117" t="s">
        <v>233</v>
      </c>
      <c r="Z28" s="537" t="s">
        <v>233</v>
      </c>
      <c r="AA28" s="330" t="s">
        <v>233</v>
      </c>
      <c r="AB28" s="331" t="s">
        <v>233</v>
      </c>
      <c r="AC28" s="118" t="s">
        <v>233</v>
      </c>
      <c r="AD28" s="11" t="e">
        <v>#VALUE!</v>
      </c>
      <c r="AE28" s="11" t="e">
        <v>#VALUE!</v>
      </c>
      <c r="AF28" s="477" t="e">
        <v>#VALUE!</v>
      </c>
    </row>
    <row r="29" spans="1:32" ht="15" customHeight="1">
      <c r="A29" s="284">
        <v>17</v>
      </c>
      <c r="B29" s="143" t="s">
        <v>233</v>
      </c>
      <c r="C29" s="166" t="s">
        <v>233</v>
      </c>
      <c r="D29" s="134" t="s">
        <v>233</v>
      </c>
      <c r="E29" s="340" t="s">
        <v>233</v>
      </c>
      <c r="F29" s="136" t="s">
        <v>233</v>
      </c>
      <c r="G29" s="144" t="s">
        <v>233</v>
      </c>
      <c r="H29" s="10" t="s">
        <v>233</v>
      </c>
      <c r="I29" s="436" t="s">
        <v>233</v>
      </c>
      <c r="J29" s="5" t="s">
        <v>233</v>
      </c>
      <c r="K29" s="60" t="s">
        <v>233</v>
      </c>
      <c r="L29" s="289" t="s">
        <v>233</v>
      </c>
      <c r="M29" s="56" t="s">
        <v>233</v>
      </c>
      <c r="N29" s="15" t="s">
        <v>233</v>
      </c>
      <c r="O29" s="84" t="s">
        <v>233</v>
      </c>
      <c r="P29" s="517" t="s">
        <v>233</v>
      </c>
      <c r="Q29" s="384" t="s">
        <v>233</v>
      </c>
      <c r="R29" s="329" t="s">
        <v>233</v>
      </c>
      <c r="S29" s="329" t="s">
        <v>233</v>
      </c>
      <c r="T29" s="117" t="s">
        <v>233</v>
      </c>
      <c r="U29" s="329" t="s">
        <v>233</v>
      </c>
      <c r="V29" s="501" t="s">
        <v>233</v>
      </c>
      <c r="W29" s="117" t="s">
        <v>233</v>
      </c>
      <c r="X29" s="117" t="s">
        <v>233</v>
      </c>
      <c r="Y29" s="117" t="s">
        <v>233</v>
      </c>
      <c r="Z29" s="537" t="s">
        <v>233</v>
      </c>
      <c r="AA29" s="330" t="s">
        <v>233</v>
      </c>
      <c r="AB29" s="331" t="s">
        <v>233</v>
      </c>
      <c r="AC29" s="118" t="s">
        <v>233</v>
      </c>
      <c r="AD29" s="11" t="e">
        <v>#VALUE!</v>
      </c>
      <c r="AE29" s="11" t="e">
        <v>#VALUE!</v>
      </c>
      <c r="AF29" s="477" t="e">
        <v>#VALUE!</v>
      </c>
    </row>
    <row r="30" spans="1:32" ht="15.75" thickBot="1">
      <c r="B30" s="484">
        <v>1</v>
      </c>
      <c r="C30" s="492">
        <v>175</v>
      </c>
      <c r="D30" s="24" t="s">
        <v>49</v>
      </c>
      <c r="E30" s="168">
        <v>36.708069929620251</v>
      </c>
      <c r="F30" s="38" t="s">
        <v>50</v>
      </c>
      <c r="G30" s="48" t="s">
        <v>422</v>
      </c>
      <c r="H30" s="39">
        <v>-3.0650041356954794</v>
      </c>
      <c r="I30" s="169">
        <v>-3.0650041356954794</v>
      </c>
      <c r="J30" s="167">
        <v>25</v>
      </c>
      <c r="K30" s="24" t="s">
        <v>49</v>
      </c>
      <c r="L30" s="24">
        <v>41.904067339666611</v>
      </c>
      <c r="M30" s="38" t="s">
        <v>50</v>
      </c>
      <c r="N30" s="170" t="s">
        <v>6</v>
      </c>
      <c r="O30" s="491">
        <v>-0.44852171208282576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1"/>
      <c r="AB30" s="493" t="s">
        <v>6</v>
      </c>
      <c r="AC30" s="494">
        <v>11627.808306927622</v>
      </c>
    </row>
    <row r="31" spans="1:32" ht="15.75" thickBot="1">
      <c r="AB31" s="54" t="s">
        <v>79</v>
      </c>
      <c r="AC31" s="55">
        <v>8353.5929665605581</v>
      </c>
    </row>
  </sheetData>
  <mergeCells count="6">
    <mergeCell ref="C1:R1"/>
    <mergeCell ref="J11:N11"/>
    <mergeCell ref="C11:G11"/>
    <mergeCell ref="E2:AB2"/>
    <mergeCell ref="G3:G4"/>
    <mergeCell ref="G5:G6"/>
  </mergeCells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49"/>
  <sheetViews>
    <sheetView zoomScaleNormal="100" workbookViewId="0">
      <selection activeCell="AF17" sqref="AF17:AH23"/>
    </sheetView>
  </sheetViews>
  <sheetFormatPr defaultRowHeight="15"/>
  <cols>
    <col min="1" max="1" width="12.85546875" customWidth="1"/>
    <col min="2" max="2" width="3.42578125" customWidth="1"/>
    <col min="3" max="3" width="2.28515625" bestFit="1" customWidth="1"/>
    <col min="4" max="4" width="6" customWidth="1"/>
    <col min="5" max="6" width="2.7109375" bestFit="1" customWidth="1"/>
    <col min="7" max="7" width="13.140625" hidden="1" customWidth="1"/>
    <col min="8" max="8" width="5" customWidth="1"/>
    <col min="9" max="9" width="2.28515625" bestFit="1" customWidth="1"/>
    <col min="10" max="10" width="5.140625" customWidth="1"/>
    <col min="11" max="11" width="3" bestFit="1" customWidth="1"/>
    <col min="12" max="12" width="2.7109375" bestFit="1" customWidth="1"/>
    <col min="13" max="13" width="13.140625" hidden="1" customWidth="1"/>
    <col min="14" max="14" width="3.5703125" bestFit="1" customWidth="1"/>
    <col min="15" max="15" width="5.140625" customWidth="1"/>
    <col min="16" max="16" width="3.85546875" bestFit="1" customWidth="1"/>
    <col min="17" max="17" width="3.85546875" customWidth="1"/>
    <col min="18" max="18" width="2.5703125" bestFit="1" customWidth="1"/>
    <col min="19" max="19" width="28.42578125" customWidth="1"/>
    <col min="20" max="20" width="10.140625" bestFit="1" customWidth="1"/>
    <col min="21" max="21" width="4.28515625" customWidth="1"/>
    <col min="22" max="22" width="1.7109375" bestFit="1" customWidth="1"/>
    <col min="23" max="23" width="4.7109375" customWidth="1"/>
    <col min="24" max="24" width="2.28515625" bestFit="1" customWidth="1"/>
    <col min="25" max="25" width="2.28515625" customWidth="1"/>
    <col min="26" max="26" width="2.5703125" hidden="1" customWidth="1"/>
    <col min="27" max="27" width="3" customWidth="1"/>
    <col min="28" max="28" width="2.28515625" customWidth="1"/>
    <col min="29" max="29" width="5.5703125" bestFit="1" customWidth="1"/>
    <col min="30" max="30" width="2.28515625" bestFit="1" customWidth="1"/>
    <col min="31" max="31" width="2.85546875" bestFit="1" customWidth="1"/>
    <col min="32" max="32" width="7.28515625" style="63" customWidth="1"/>
    <col min="33" max="33" width="8" style="63" customWidth="1"/>
    <col min="34" max="34" width="7.5703125" style="63" customWidth="1"/>
    <col min="35" max="38" width="6.85546875" style="63" customWidth="1"/>
    <col min="39" max="42" width="9.140625" style="63"/>
  </cols>
  <sheetData>
    <row r="1" spans="1:38" ht="15" customHeight="1">
      <c r="B1" s="3" t="s">
        <v>206</v>
      </c>
      <c r="C1" s="3"/>
      <c r="D1" s="3"/>
      <c r="E1" s="3"/>
      <c r="F1" s="3"/>
      <c r="G1" s="3"/>
      <c r="H1" s="3"/>
      <c r="I1" s="3"/>
      <c r="J1" s="3"/>
      <c r="M1" s="802">
        <v>70</v>
      </c>
      <c r="N1" s="802"/>
      <c r="U1" s="3" t="s">
        <v>369</v>
      </c>
      <c r="V1" s="3"/>
      <c r="W1" s="3"/>
      <c r="X1" s="3"/>
      <c r="Y1" s="3"/>
      <c r="Z1" s="3"/>
      <c r="AA1" s="3"/>
      <c r="AB1" s="3"/>
      <c r="AC1" s="3"/>
      <c r="AE1" s="3"/>
      <c r="AG1" s="50">
        <v>70</v>
      </c>
    </row>
    <row r="2" spans="1:38" ht="15" customHeight="1">
      <c r="A2" s="898" t="s">
        <v>405</v>
      </c>
      <c r="B2" s="898"/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  <c r="O2" s="898"/>
      <c r="P2" s="898"/>
      <c r="Q2" s="898"/>
      <c r="R2" s="898"/>
      <c r="S2" s="898"/>
      <c r="T2" s="3" t="s">
        <v>406</v>
      </c>
    </row>
    <row r="3" spans="1:38" ht="15" customHeight="1"/>
    <row r="4" spans="1:38" ht="15" customHeight="1">
      <c r="A4" s="892" t="s">
        <v>86</v>
      </c>
      <c r="B4" s="872" t="s">
        <v>87</v>
      </c>
      <c r="C4" s="872"/>
      <c r="D4" s="872"/>
      <c r="E4" s="872"/>
      <c r="F4" s="872"/>
      <c r="G4" s="872"/>
      <c r="H4" s="872"/>
      <c r="I4" s="872"/>
      <c r="J4" s="872"/>
      <c r="K4" s="872"/>
      <c r="L4" s="873"/>
      <c r="M4" s="203"/>
      <c r="N4" s="894" t="s">
        <v>88</v>
      </c>
      <c r="O4" s="846"/>
      <c r="P4" s="895"/>
      <c r="Q4" s="868" t="s">
        <v>89</v>
      </c>
      <c r="R4" s="869"/>
      <c r="S4" s="61"/>
      <c r="T4" s="237" t="s">
        <v>99</v>
      </c>
      <c r="U4" s="875" t="s">
        <v>93</v>
      </c>
      <c r="V4" s="899"/>
      <c r="W4" s="899"/>
      <c r="X4" s="899"/>
      <c r="Y4" s="900"/>
      <c r="Z4" s="234"/>
      <c r="AA4" s="876" t="s">
        <v>105</v>
      </c>
      <c r="AB4" s="877"/>
      <c r="AC4" s="877"/>
      <c r="AD4" s="877"/>
      <c r="AE4" s="878"/>
      <c r="AF4" s="14" t="s">
        <v>100</v>
      </c>
      <c r="AG4" s="14" t="s">
        <v>101</v>
      </c>
      <c r="AH4" s="290" t="s">
        <v>106</v>
      </c>
      <c r="AI4" s="290" t="s">
        <v>102</v>
      </c>
      <c r="AJ4" s="291" t="s">
        <v>103</v>
      </c>
      <c r="AK4" s="290" t="s">
        <v>104</v>
      </c>
      <c r="AL4" s="290" t="s">
        <v>55</v>
      </c>
    </row>
    <row r="5" spans="1:38" ht="15" customHeight="1">
      <c r="A5" s="893"/>
      <c r="B5" s="874" t="s">
        <v>63</v>
      </c>
      <c r="C5" s="874"/>
      <c r="D5" s="874"/>
      <c r="E5" s="874"/>
      <c r="F5" s="874"/>
      <c r="G5" s="234"/>
      <c r="H5" s="874" t="s">
        <v>64</v>
      </c>
      <c r="I5" s="874"/>
      <c r="J5" s="874"/>
      <c r="K5" s="874"/>
      <c r="L5" s="875"/>
      <c r="M5" s="59"/>
      <c r="N5" s="896"/>
      <c r="O5" s="844"/>
      <c r="P5" s="897"/>
      <c r="Q5" s="870"/>
      <c r="R5" s="871"/>
      <c r="S5" s="62"/>
      <c r="T5" s="241">
        <v>1</v>
      </c>
      <c r="U5" s="64">
        <v>0</v>
      </c>
      <c r="V5" s="181" t="s">
        <v>49</v>
      </c>
      <c r="W5" s="230">
        <v>10.774671846642322</v>
      </c>
      <c r="X5" s="56" t="s">
        <v>50</v>
      </c>
      <c r="Y5" s="15" t="s">
        <v>421</v>
      </c>
      <c r="Z5" s="15"/>
      <c r="AA5" s="64">
        <v>0</v>
      </c>
      <c r="AB5" s="181" t="s">
        <v>49</v>
      </c>
      <c r="AC5" s="230">
        <v>18.626233842138308</v>
      </c>
      <c r="AD5" s="56" t="s">
        <v>50</v>
      </c>
      <c r="AE5" s="15" t="s">
        <v>422</v>
      </c>
      <c r="AF5" s="292">
        <v>21.518135154907014</v>
      </c>
      <c r="AG5" s="293">
        <v>300.04798835591026</v>
      </c>
      <c r="AH5" s="292">
        <v>2.4733022203965227</v>
      </c>
      <c r="AI5" s="294">
        <v>1</v>
      </c>
      <c r="AJ5" s="293">
        <v>120.04798835591026</v>
      </c>
      <c r="AK5" s="292">
        <v>2.4733022203965227</v>
      </c>
      <c r="AL5" s="294">
        <v>0.28023055191683371</v>
      </c>
    </row>
    <row r="6" spans="1:38" ht="15" customHeight="1">
      <c r="A6" s="236" t="s">
        <v>83</v>
      </c>
      <c r="B6" s="339">
        <v>50</v>
      </c>
      <c r="C6" s="181" t="s">
        <v>49</v>
      </c>
      <c r="D6" s="340">
        <v>55.648031079850625</v>
      </c>
      <c r="E6" s="56" t="s">
        <v>50</v>
      </c>
      <c r="F6" s="342" t="s">
        <v>421</v>
      </c>
      <c r="G6" s="5">
        <v>0.88885198207375682</v>
      </c>
      <c r="H6" s="339">
        <v>176</v>
      </c>
      <c r="I6" s="181" t="s">
        <v>49</v>
      </c>
      <c r="J6" s="340">
        <v>1.84402848983882</v>
      </c>
      <c r="K6" s="56" t="s">
        <v>50</v>
      </c>
      <c r="L6" s="144" t="s">
        <v>61</v>
      </c>
      <c r="M6" s="5">
        <v>3.0723158896541576</v>
      </c>
      <c r="N6" s="879"/>
      <c r="O6" s="880"/>
      <c r="P6" s="881"/>
      <c r="Q6" s="879"/>
      <c r="R6" s="881"/>
      <c r="S6" s="62"/>
      <c r="T6" s="188">
        <v>2</v>
      </c>
      <c r="U6" s="64">
        <v>0</v>
      </c>
      <c r="V6" s="181" t="s">
        <v>49</v>
      </c>
      <c r="W6" s="230">
        <v>21.182626727327268</v>
      </c>
      <c r="X6" s="56" t="s">
        <v>50</v>
      </c>
      <c r="Y6" s="15" t="s">
        <v>421</v>
      </c>
      <c r="Z6" s="14"/>
      <c r="AA6" s="64">
        <v>0</v>
      </c>
      <c r="AB6" s="181" t="s">
        <v>49</v>
      </c>
      <c r="AC6" s="230">
        <v>14.775880023528387</v>
      </c>
      <c r="AD6" s="56" t="s">
        <v>50</v>
      </c>
      <c r="AE6" s="15" t="s">
        <v>61</v>
      </c>
      <c r="AF6" s="292">
        <v>25.826929851203463</v>
      </c>
      <c r="AG6" s="293">
        <v>34.897589094345548</v>
      </c>
      <c r="AH6" s="292">
        <v>-2.1365990006490101</v>
      </c>
      <c r="AI6" s="294">
        <v>1</v>
      </c>
      <c r="AJ6" s="293">
        <v>214.89758909434556</v>
      </c>
      <c r="AK6" s="292">
        <v>-2.1365990006490101</v>
      </c>
      <c r="AL6" s="294">
        <v>0.23028106023965594</v>
      </c>
    </row>
    <row r="7" spans="1:38" ht="15" customHeight="1">
      <c r="A7" s="188" t="s">
        <v>84</v>
      </c>
      <c r="B7" s="339">
        <v>51</v>
      </c>
      <c r="C7" s="181" t="s">
        <v>49</v>
      </c>
      <c r="D7" s="340">
        <v>6.4227029264927182</v>
      </c>
      <c r="E7" s="56" t="s">
        <v>50</v>
      </c>
      <c r="F7" s="342" t="s">
        <v>421</v>
      </c>
      <c r="G7" s="5">
        <v>0.89198620706618759</v>
      </c>
      <c r="H7" s="654">
        <v>175</v>
      </c>
      <c r="I7" s="181" t="s">
        <v>49</v>
      </c>
      <c r="J7" s="340">
        <v>32.235636602663931</v>
      </c>
      <c r="K7" s="56" t="s">
        <v>50</v>
      </c>
      <c r="L7" s="144" t="s">
        <v>61</v>
      </c>
      <c r="M7" s="5">
        <v>3.0637031575766249</v>
      </c>
      <c r="N7" s="235" t="s">
        <v>97</v>
      </c>
      <c r="O7" s="339">
        <v>23.991437375303537</v>
      </c>
      <c r="P7" s="235" t="s">
        <v>90</v>
      </c>
      <c r="Q7" s="339">
        <v>1.1680440297641326</v>
      </c>
      <c r="R7" s="235" t="s">
        <v>66</v>
      </c>
      <c r="S7" s="62"/>
    </row>
    <row r="8" spans="1:38" ht="15" customHeight="1">
      <c r="A8" s="188" t="s">
        <v>85</v>
      </c>
      <c r="B8" s="339">
        <v>51</v>
      </c>
      <c r="C8" s="181" t="s">
        <v>49</v>
      </c>
      <c r="D8" s="340">
        <v>16.830657807177687</v>
      </c>
      <c r="E8" s="56" t="s">
        <v>50</v>
      </c>
      <c r="F8" s="342" t="s">
        <v>421</v>
      </c>
      <c r="G8" s="5">
        <v>0.89501375841730368</v>
      </c>
      <c r="H8" s="654">
        <v>176</v>
      </c>
      <c r="I8" s="181" t="s">
        <v>49</v>
      </c>
      <c r="J8" s="340">
        <v>25.375914502213845</v>
      </c>
      <c r="K8" s="56" t="s">
        <v>50</v>
      </c>
      <c r="L8" s="144" t="s">
        <v>61</v>
      </c>
      <c r="M8" s="5">
        <v>3.0791610378228236</v>
      </c>
      <c r="N8" s="235" t="s">
        <v>98</v>
      </c>
      <c r="O8" s="339">
        <v>23.690330850554453</v>
      </c>
      <c r="P8" s="235" t="s">
        <v>90</v>
      </c>
      <c r="Q8" s="339">
        <v>0.97204661974683404</v>
      </c>
      <c r="R8" s="235" t="s">
        <v>66</v>
      </c>
      <c r="S8" s="62"/>
      <c r="T8" s="3" t="s">
        <v>370</v>
      </c>
      <c r="Z8" s="9">
        <v>1.2683022527890705E-4</v>
      </c>
    </row>
    <row r="9" spans="1:38" ht="15" customHeight="1" thickBot="1">
      <c r="T9" s="231" t="s">
        <v>93</v>
      </c>
      <c r="U9" s="5">
        <v>0</v>
      </c>
      <c r="V9" s="181" t="s">
        <v>49</v>
      </c>
      <c r="W9" s="51">
        <v>0.43601019739048913</v>
      </c>
      <c r="X9" s="56" t="s">
        <v>50</v>
      </c>
      <c r="Y9" s="15" t="s">
        <v>421</v>
      </c>
      <c r="Z9" s="2">
        <v>0.88897881229903575</v>
      </c>
      <c r="AF9" s="301" t="s">
        <v>303</v>
      </c>
      <c r="AG9" s="326">
        <v>85.150399261564701</v>
      </c>
      <c r="AI9" s="325" t="s">
        <v>308</v>
      </c>
      <c r="AJ9" s="326">
        <v>0.36270997909171632</v>
      </c>
      <c r="AL9" s="327"/>
    </row>
    <row r="10" spans="1:38" ht="15" customHeight="1">
      <c r="B10" s="879" t="s">
        <v>91</v>
      </c>
      <c r="C10" s="880"/>
      <c r="D10" s="880"/>
      <c r="E10" s="880"/>
      <c r="F10" s="880"/>
      <c r="G10" s="880"/>
      <c r="H10" s="889" t="s">
        <v>92</v>
      </c>
      <c r="I10" s="890"/>
      <c r="J10" s="890"/>
      <c r="K10" s="890"/>
      <c r="L10" s="891"/>
      <c r="M10" s="171"/>
      <c r="T10" s="140" t="s">
        <v>96</v>
      </c>
      <c r="U10" s="5">
        <v>50</v>
      </c>
      <c r="V10" s="181" t="s">
        <v>49</v>
      </c>
      <c r="W10" s="51">
        <v>55.866036178545215</v>
      </c>
      <c r="X10" s="56" t="s">
        <v>50</v>
      </c>
      <c r="Y10" s="15" t="s">
        <v>421</v>
      </c>
      <c r="Z10" s="67">
        <v>0.88891539718639623</v>
      </c>
      <c r="AF10" s="325" t="s">
        <v>304</v>
      </c>
      <c r="AG10" s="326">
        <v>0.51005888337679472</v>
      </c>
      <c r="AI10" s="301" t="s">
        <v>309</v>
      </c>
      <c r="AJ10" s="326">
        <v>1.2169066428007358</v>
      </c>
    </row>
    <row r="11" spans="1:38" ht="15" customHeight="1">
      <c r="B11" s="882" t="s">
        <v>264</v>
      </c>
      <c r="C11" s="883"/>
      <c r="D11" s="883"/>
      <c r="E11" s="883"/>
      <c r="F11" s="883"/>
      <c r="H11" s="886" t="s">
        <v>265</v>
      </c>
      <c r="I11" s="883"/>
      <c r="J11" s="883"/>
      <c r="K11" s="883"/>
      <c r="L11" s="887"/>
      <c r="M11" s="4"/>
      <c r="S11" s="42"/>
      <c r="T11" s="111" t="s">
        <v>71</v>
      </c>
      <c r="U11" s="5">
        <v>0</v>
      </c>
      <c r="V11" s="181" t="s">
        <v>49</v>
      </c>
      <c r="W11" s="51">
        <v>4.9337592829942114</v>
      </c>
      <c r="X11" s="56" t="s">
        <v>50</v>
      </c>
      <c r="Y11" s="15" t="s">
        <v>61</v>
      </c>
      <c r="AF11" s="325" t="s">
        <v>305</v>
      </c>
      <c r="AG11" s="326">
        <v>5.4378243386890145E-2</v>
      </c>
      <c r="AI11" s="301" t="s">
        <v>310</v>
      </c>
      <c r="AJ11" s="326">
        <v>0.82175572457923263</v>
      </c>
    </row>
    <row r="12" spans="1:38" ht="15" customHeight="1">
      <c r="B12" s="5">
        <v>0</v>
      </c>
      <c r="C12" s="60" t="s">
        <v>49</v>
      </c>
      <c r="D12" s="60">
        <v>10.774671846642322</v>
      </c>
      <c r="E12" s="56" t="s">
        <v>50</v>
      </c>
      <c r="F12" s="15" t="s">
        <v>421</v>
      </c>
      <c r="G12">
        <v>3.1342249924307675E-3</v>
      </c>
      <c r="H12" s="5">
        <v>0</v>
      </c>
      <c r="I12" s="60" t="s">
        <v>49</v>
      </c>
      <c r="J12" s="60">
        <v>21.182626727327268</v>
      </c>
      <c r="K12" s="56" t="s">
        <v>50</v>
      </c>
      <c r="L12" s="15" t="s">
        <v>421</v>
      </c>
      <c r="M12" s="4">
        <v>6.1617763435468653E-3</v>
      </c>
      <c r="T12" s="231" t="s">
        <v>94</v>
      </c>
      <c r="U12" s="5">
        <v>50</v>
      </c>
      <c r="V12" s="181" t="s">
        <v>49</v>
      </c>
      <c r="W12" s="51">
        <v>56.084041277240857</v>
      </c>
      <c r="X12" s="56" t="s">
        <v>50</v>
      </c>
      <c r="Y12" s="15" t="s">
        <v>421</v>
      </c>
      <c r="Z12" s="9">
        <v>-1.435172399818061E-3</v>
      </c>
      <c r="AF12" s="325" t="s">
        <v>306</v>
      </c>
      <c r="AG12" s="326">
        <v>0.28221856338184242</v>
      </c>
      <c r="AI12" s="301" t="s">
        <v>311</v>
      </c>
      <c r="AJ12" s="326">
        <v>-14.244975850705702</v>
      </c>
    </row>
    <row r="13" spans="1:38" ht="15" customHeight="1">
      <c r="B13" s="109"/>
      <c r="H13" s="109"/>
      <c r="L13" s="212"/>
      <c r="M13" s="4"/>
      <c r="T13" s="111" t="s">
        <v>72</v>
      </c>
      <c r="U13" s="5">
        <v>175</v>
      </c>
      <c r="V13" s="181" t="s">
        <v>49</v>
      </c>
      <c r="W13" s="51">
        <v>56.910269206844077</v>
      </c>
      <c r="X13" s="56" t="s">
        <v>50</v>
      </c>
      <c r="Y13" s="15" t="s">
        <v>61</v>
      </c>
      <c r="Z13" s="2">
        <v>3.0708807172543393</v>
      </c>
      <c r="AF13" s="325" t="s">
        <v>307</v>
      </c>
      <c r="AG13" s="326">
        <v>0.2278403199949523</v>
      </c>
    </row>
    <row r="14" spans="1:38" ht="15" customHeight="1">
      <c r="B14" s="884" t="s">
        <v>221</v>
      </c>
      <c r="C14" s="885"/>
      <c r="D14" s="885"/>
      <c r="E14" s="885"/>
      <c r="F14" s="885"/>
      <c r="H14" s="884" t="s">
        <v>222</v>
      </c>
      <c r="I14" s="885"/>
      <c r="J14" s="885"/>
      <c r="K14" s="885"/>
      <c r="L14" s="888"/>
      <c r="M14" s="4"/>
    </row>
    <row r="15" spans="1:38" ht="15" customHeight="1">
      <c r="B15" s="5">
        <v>0</v>
      </c>
      <c r="C15" s="60" t="s">
        <v>49</v>
      </c>
      <c r="D15" s="60">
        <v>29.608391887173763</v>
      </c>
      <c r="E15" s="56" t="s">
        <v>50</v>
      </c>
      <c r="F15" s="15" t="s">
        <v>422</v>
      </c>
      <c r="G15">
        <v>-8.6127320775326588E-3</v>
      </c>
      <c r="H15" s="5">
        <v>0</v>
      </c>
      <c r="I15" s="60" t="s">
        <v>49</v>
      </c>
      <c r="J15" s="60">
        <v>23.53188601237596</v>
      </c>
      <c r="K15" s="56" t="s">
        <v>50</v>
      </c>
      <c r="L15" s="15" t="s">
        <v>61</v>
      </c>
      <c r="M15" s="4">
        <v>6.8451481686659932E-3</v>
      </c>
    </row>
    <row r="16" spans="1:38" ht="15" customHeight="1">
      <c r="B16" s="109"/>
      <c r="H16" s="109"/>
      <c r="L16" s="212"/>
      <c r="M16" s="4"/>
    </row>
    <row r="17" spans="2:35" ht="15" customHeight="1">
      <c r="B17" s="882" t="s">
        <v>266</v>
      </c>
      <c r="C17" s="883"/>
      <c r="D17" s="883"/>
      <c r="E17" s="883"/>
      <c r="F17" s="883"/>
      <c r="H17" s="882" t="s">
        <v>267</v>
      </c>
      <c r="I17" s="883"/>
      <c r="J17" s="883"/>
      <c r="K17" s="883"/>
      <c r="L17" s="887"/>
      <c r="M17" s="4"/>
      <c r="AF17" s="865"/>
      <c r="AG17" s="866"/>
      <c r="AH17" s="867"/>
    </row>
    <row r="18" spans="2:35" ht="15" customHeight="1">
      <c r="B18" s="5">
        <v>51</v>
      </c>
      <c r="C18" s="60" t="s">
        <v>49</v>
      </c>
      <c r="D18" s="60">
        <v>1.0353670031713591</v>
      </c>
      <c r="E18" s="56" t="s">
        <v>50</v>
      </c>
      <c r="F18" s="15" t="s">
        <v>421</v>
      </c>
      <c r="G18">
        <v>0.89041909456997215</v>
      </c>
      <c r="H18" s="5">
        <v>51</v>
      </c>
      <c r="I18" s="60" t="s">
        <v>49</v>
      </c>
      <c r="J18" s="60">
        <v>6.2393444435140566</v>
      </c>
      <c r="K18" s="56" t="s">
        <v>50</v>
      </c>
      <c r="L18" s="15" t="s">
        <v>421</v>
      </c>
      <c r="M18" s="4">
        <v>0.89193287024553025</v>
      </c>
      <c r="AF18" s="652"/>
      <c r="AG18" s="653"/>
      <c r="AH18" s="653"/>
    </row>
    <row r="19" spans="2:35" ht="15" customHeight="1">
      <c r="B19" s="109"/>
      <c r="H19" s="109"/>
      <c r="L19" s="212"/>
      <c r="M19" s="4"/>
      <c r="AF19" s="652"/>
      <c r="AG19" s="326"/>
      <c r="AH19" s="326"/>
      <c r="AI19" s="353" t="s">
        <v>316</v>
      </c>
    </row>
    <row r="20" spans="2:35" ht="15" customHeight="1">
      <c r="B20" s="911" t="s">
        <v>223</v>
      </c>
      <c r="C20" s="912"/>
      <c r="D20" s="912"/>
      <c r="E20" s="912"/>
      <c r="F20" s="912"/>
      <c r="H20" s="911" t="s">
        <v>224</v>
      </c>
      <c r="I20" s="912"/>
      <c r="J20" s="912"/>
      <c r="K20" s="912"/>
      <c r="L20" s="913"/>
      <c r="M20" s="4"/>
      <c r="AF20" s="652"/>
      <c r="AG20" s="651"/>
      <c r="AH20" s="651"/>
    </row>
    <row r="21" spans="2:35" ht="15" customHeight="1">
      <c r="B21" s="5">
        <v>0</v>
      </c>
      <c r="C21" s="60" t="s">
        <v>49</v>
      </c>
      <c r="D21" s="60">
        <v>18.626233842138308</v>
      </c>
      <c r="E21" s="56" t="s">
        <v>50</v>
      </c>
      <c r="F21" s="15" t="s">
        <v>422</v>
      </c>
      <c r="G21">
        <v>-5.4181517965284538E-3</v>
      </c>
      <c r="H21" s="5">
        <v>0</v>
      </c>
      <c r="I21" s="60" t="s">
        <v>49</v>
      </c>
      <c r="J21" s="60">
        <v>14.775880023528387</v>
      </c>
      <c r="K21" s="56" t="s">
        <v>50</v>
      </c>
      <c r="L21" s="15" t="s">
        <v>61</v>
      </c>
      <c r="M21" s="4">
        <v>4.2981292715037929E-3</v>
      </c>
      <c r="AF21" s="652"/>
      <c r="AG21" s="326"/>
      <c r="AH21" s="326"/>
    </row>
    <row r="22" spans="2:35" ht="15" customHeight="1">
      <c r="B22" s="109"/>
      <c r="H22" s="109"/>
      <c r="L22" s="212"/>
      <c r="M22" s="4"/>
      <c r="AF22" s="652"/>
      <c r="AG22" s="326"/>
      <c r="AH22" s="326"/>
    </row>
    <row r="23" spans="2:35" ht="15" customHeight="1">
      <c r="B23" s="889" t="s">
        <v>268</v>
      </c>
      <c r="C23" s="890"/>
      <c r="D23" s="890"/>
      <c r="E23" s="890"/>
      <c r="F23" s="891"/>
      <c r="G23" s="64"/>
      <c r="H23" s="902" t="s">
        <v>269</v>
      </c>
      <c r="I23" s="902"/>
      <c r="J23" s="902"/>
      <c r="K23" s="902"/>
      <c r="L23" s="902"/>
      <c r="M23" s="4"/>
      <c r="AF23" s="652"/>
      <c r="AG23" s="326"/>
      <c r="AH23" s="326"/>
    </row>
    <row r="24" spans="2:35" ht="15" customHeight="1">
      <c r="B24" s="914">
        <v>300.04798835591026</v>
      </c>
      <c r="C24" s="914"/>
      <c r="D24" s="914"/>
      <c r="E24" s="914"/>
      <c r="F24" s="9" t="s">
        <v>49</v>
      </c>
      <c r="G24" s="64">
        <v>-1.0463599963833445</v>
      </c>
      <c r="H24" s="908">
        <v>34.897589094345548</v>
      </c>
      <c r="I24" s="909"/>
      <c r="J24" s="909"/>
      <c r="K24" s="910"/>
      <c r="L24" s="9" t="s">
        <v>49</v>
      </c>
      <c r="M24" s="4">
        <v>0.60907783070439592</v>
      </c>
    </row>
    <row r="25" spans="2:35" ht="15" customHeight="1">
      <c r="B25" s="109"/>
      <c r="H25" s="109"/>
      <c r="L25" s="212"/>
      <c r="M25" s="4"/>
    </row>
    <row r="26" spans="2:35" ht="15" customHeight="1">
      <c r="B26" s="902" t="s">
        <v>270</v>
      </c>
      <c r="C26" s="902"/>
      <c r="D26" s="902"/>
      <c r="E26" s="902"/>
      <c r="F26" s="902"/>
      <c r="G26" s="64"/>
      <c r="H26" s="902" t="s">
        <v>271</v>
      </c>
      <c r="I26" s="902"/>
      <c r="J26" s="902"/>
      <c r="K26" s="902"/>
      <c r="L26" s="902"/>
      <c r="M26" s="4"/>
    </row>
    <row r="27" spans="2:35" ht="15" customHeight="1">
      <c r="B27" s="901">
        <v>21.518135154907014</v>
      </c>
      <c r="C27" s="901"/>
      <c r="D27" s="901"/>
      <c r="E27" s="901"/>
      <c r="F27" s="111" t="s">
        <v>50</v>
      </c>
      <c r="G27" s="64"/>
      <c r="H27" s="901">
        <v>25.826929851203463</v>
      </c>
      <c r="I27" s="901"/>
      <c r="J27" s="901"/>
      <c r="K27" s="901"/>
      <c r="L27" s="111" t="s">
        <v>50</v>
      </c>
      <c r="M27" s="4"/>
    </row>
    <row r="28" spans="2:35" ht="15" customHeight="1">
      <c r="B28" s="109"/>
      <c r="H28" s="109"/>
      <c r="L28" s="212"/>
      <c r="M28" s="4"/>
    </row>
    <row r="29" spans="2:35" ht="15" customHeight="1">
      <c r="B29" s="903" t="s">
        <v>272</v>
      </c>
      <c r="C29" s="904"/>
      <c r="D29" s="904"/>
      <c r="E29" s="904"/>
      <c r="F29" s="904"/>
      <c r="H29" s="903" t="s">
        <v>273</v>
      </c>
      <c r="I29" s="904"/>
      <c r="J29" s="904"/>
      <c r="K29" s="904"/>
      <c r="L29" s="904"/>
      <c r="M29" s="4"/>
    </row>
    <row r="30" spans="2:35" ht="15" customHeight="1">
      <c r="B30" s="914">
        <v>120.04798835591026</v>
      </c>
      <c r="C30" s="914"/>
      <c r="D30" s="914"/>
      <c r="E30" s="914"/>
      <c r="F30" s="9" t="s">
        <v>49</v>
      </c>
      <c r="G30">
        <v>2.0952326572064481</v>
      </c>
      <c r="H30" s="908">
        <v>214.89758909434556</v>
      </c>
      <c r="I30" s="909"/>
      <c r="J30" s="909"/>
      <c r="K30" s="910"/>
      <c r="L30" s="9" t="s">
        <v>49</v>
      </c>
      <c r="M30" s="4">
        <v>3.7506704842941887</v>
      </c>
    </row>
    <row r="31" spans="2:35" ht="15" customHeight="1">
      <c r="B31" s="109"/>
      <c r="H31" s="109"/>
      <c r="L31" s="212"/>
      <c r="M31" s="4"/>
    </row>
    <row r="32" spans="2:35" ht="15" customHeight="1">
      <c r="B32" s="902" t="s">
        <v>274</v>
      </c>
      <c r="C32" s="902"/>
      <c r="D32" s="902"/>
      <c r="E32" s="902"/>
      <c r="F32" s="902"/>
      <c r="H32" s="902" t="s">
        <v>275</v>
      </c>
      <c r="I32" s="902"/>
      <c r="J32" s="902"/>
      <c r="K32" s="902"/>
      <c r="L32" s="902"/>
      <c r="M32" s="4"/>
    </row>
    <row r="33" spans="2:13" ht="15" customHeight="1">
      <c r="B33" s="902">
        <v>1</v>
      </c>
      <c r="C33" s="902"/>
      <c r="D33" s="902"/>
      <c r="E33" s="902"/>
      <c r="F33" s="902"/>
      <c r="H33" s="902">
        <v>1</v>
      </c>
      <c r="I33" s="902"/>
      <c r="J33" s="902"/>
      <c r="K33" s="902"/>
      <c r="L33" s="902"/>
      <c r="M33" s="4"/>
    </row>
    <row r="34" spans="2:13" ht="15" customHeight="1">
      <c r="B34" s="109"/>
      <c r="H34" s="109"/>
      <c r="L34" s="212"/>
      <c r="M34" s="4"/>
    </row>
    <row r="35" spans="2:13" ht="15" customHeight="1">
      <c r="B35" s="903" t="s">
        <v>276</v>
      </c>
      <c r="C35" s="904"/>
      <c r="D35" s="904"/>
      <c r="E35" s="904"/>
      <c r="F35" s="904"/>
      <c r="H35" s="903" t="s">
        <v>277</v>
      </c>
      <c r="I35" s="904"/>
      <c r="J35" s="904"/>
      <c r="K35" s="904"/>
      <c r="L35" s="904"/>
      <c r="M35" s="4"/>
    </row>
    <row r="36" spans="2:13" ht="15" customHeight="1">
      <c r="B36" s="901">
        <v>2.4733022203965227</v>
      </c>
      <c r="C36" s="901"/>
      <c r="D36" s="901"/>
      <c r="E36" s="901"/>
      <c r="F36" s="111" t="s">
        <v>50</v>
      </c>
      <c r="H36" s="901">
        <v>-2.1365990006490101</v>
      </c>
      <c r="I36" s="901"/>
      <c r="J36" s="901"/>
      <c r="K36" s="901"/>
      <c r="L36" s="111" t="s">
        <v>50</v>
      </c>
      <c r="M36" s="4"/>
    </row>
    <row r="37" spans="2:13" ht="15" customHeight="1">
      <c r="B37" s="109"/>
      <c r="H37" s="109"/>
      <c r="L37" s="212"/>
      <c r="M37" s="4"/>
    </row>
    <row r="38" spans="2:13" ht="15" customHeight="1">
      <c r="B38" s="902" t="s">
        <v>278</v>
      </c>
      <c r="C38" s="902"/>
      <c r="D38" s="902"/>
      <c r="E38" s="902"/>
      <c r="F38" s="902"/>
      <c r="H38" s="902" t="s">
        <v>279</v>
      </c>
      <c r="I38" s="902"/>
      <c r="J38" s="902"/>
      <c r="K38" s="902"/>
      <c r="L38" s="902"/>
      <c r="M38" s="4"/>
    </row>
    <row r="39" spans="2:13" ht="15" customHeight="1">
      <c r="B39" s="901">
        <v>2.4733022203965227</v>
      </c>
      <c r="C39" s="901"/>
      <c r="D39" s="901"/>
      <c r="E39" s="901"/>
      <c r="F39" s="110" t="s">
        <v>50</v>
      </c>
      <c r="G39" s="1"/>
      <c r="H39" s="901">
        <v>-2.1365990006490101</v>
      </c>
      <c r="I39" s="901"/>
      <c r="J39" s="901"/>
      <c r="K39" s="901"/>
      <c r="L39" s="111" t="s">
        <v>50</v>
      </c>
      <c r="M39" s="4"/>
    </row>
    <row r="40" spans="2:13" ht="15" customHeight="1">
      <c r="B40" s="109"/>
      <c r="G40" s="71"/>
      <c r="H40" s="109"/>
      <c r="L40" s="212"/>
      <c r="M40" s="4"/>
    </row>
    <row r="41" spans="2:13" ht="15" customHeight="1">
      <c r="B41" s="906" t="s">
        <v>93</v>
      </c>
      <c r="C41" s="907"/>
      <c r="D41" s="907"/>
      <c r="E41" s="907"/>
      <c r="F41" s="907"/>
      <c r="G41" s="71"/>
      <c r="H41" s="905" t="s">
        <v>95</v>
      </c>
      <c r="I41" s="905"/>
      <c r="J41" s="905"/>
      <c r="K41" s="905"/>
      <c r="L41" s="905"/>
      <c r="M41" s="4"/>
    </row>
    <row r="42" spans="2:13" ht="15" customHeight="1">
      <c r="B42" s="901">
        <v>0.43601019739048913</v>
      </c>
      <c r="C42" s="901"/>
      <c r="D42" s="901"/>
      <c r="E42" s="901"/>
      <c r="F42" s="110" t="s">
        <v>50</v>
      </c>
      <c r="G42" s="71">
        <v>1.2683022527890705E-4</v>
      </c>
      <c r="H42" s="901">
        <v>3.1095238440025463</v>
      </c>
      <c r="I42" s="901"/>
      <c r="J42" s="901"/>
      <c r="K42" s="901"/>
      <c r="L42" s="111" t="s">
        <v>50</v>
      </c>
      <c r="M42" s="4"/>
    </row>
    <row r="43" spans="2:13" ht="15" customHeight="1">
      <c r="B43" s="109"/>
      <c r="G43" s="71"/>
      <c r="H43" s="109"/>
      <c r="L43" s="212"/>
      <c r="M43" s="4"/>
    </row>
    <row r="44" spans="2:13" ht="15" customHeight="1">
      <c r="B44" s="907" t="s">
        <v>96</v>
      </c>
      <c r="C44" s="907"/>
      <c r="D44" s="907"/>
      <c r="E44" s="907"/>
      <c r="F44" s="907"/>
      <c r="G44" s="71"/>
      <c r="H44" s="905" t="s">
        <v>71</v>
      </c>
      <c r="I44" s="905"/>
      <c r="J44" s="905"/>
      <c r="K44" s="905"/>
      <c r="L44" s="905"/>
      <c r="M44" s="4"/>
    </row>
    <row r="45" spans="2:13" ht="15" customHeight="1">
      <c r="B45" s="5">
        <v>50</v>
      </c>
      <c r="C45" s="60" t="s">
        <v>49</v>
      </c>
      <c r="D45" s="51">
        <v>55.866036178545215</v>
      </c>
      <c r="E45" s="56" t="s">
        <v>50</v>
      </c>
      <c r="F45" s="15" t="s">
        <v>421</v>
      </c>
      <c r="G45" s="71">
        <v>0.88891539718639623</v>
      </c>
      <c r="H45" s="901">
        <v>4.9337592829942114</v>
      </c>
      <c r="I45" s="901"/>
      <c r="J45" s="901"/>
      <c r="K45" s="901"/>
      <c r="L45" s="111" t="s">
        <v>50</v>
      </c>
      <c r="M45" s="4">
        <v>1.435172399818061E-3</v>
      </c>
    </row>
    <row r="46" spans="2:13" ht="15" customHeight="1">
      <c r="B46" s="109"/>
      <c r="G46" s="71"/>
      <c r="H46" s="109"/>
      <c r="L46" s="212"/>
      <c r="M46" s="4"/>
    </row>
    <row r="47" spans="2:13" ht="15" customHeight="1">
      <c r="B47" s="906" t="s">
        <v>94</v>
      </c>
      <c r="C47" s="907"/>
      <c r="D47" s="907"/>
      <c r="E47" s="907"/>
      <c r="F47" s="907"/>
      <c r="G47" s="71"/>
      <c r="H47" s="905" t="s">
        <v>72</v>
      </c>
      <c r="I47" s="905"/>
      <c r="J47" s="905"/>
      <c r="K47" s="905"/>
      <c r="L47" s="905"/>
      <c r="M47" s="4"/>
    </row>
    <row r="48" spans="2:13" ht="15" customHeight="1" thickBot="1">
      <c r="B48" s="274">
        <v>50</v>
      </c>
      <c r="C48" s="275" t="s">
        <v>49</v>
      </c>
      <c r="D48" s="276">
        <v>56.084041277240857</v>
      </c>
      <c r="E48" s="277" t="s">
        <v>50</v>
      </c>
      <c r="F48" s="278" t="s">
        <v>421</v>
      </c>
      <c r="G48" s="279">
        <v>0.88897881229903575</v>
      </c>
      <c r="H48" s="274">
        <v>176</v>
      </c>
      <c r="I48" s="275" t="s">
        <v>49</v>
      </c>
      <c r="J48" s="275">
        <v>6.777787772832653</v>
      </c>
      <c r="K48" s="277" t="s">
        <v>50</v>
      </c>
      <c r="L48" s="278" t="s">
        <v>61</v>
      </c>
      <c r="M48" s="102">
        <v>3.0737510620539759</v>
      </c>
    </row>
    <row r="49" ht="15" customHeight="1"/>
  </sheetData>
  <mergeCells count="56">
    <mergeCell ref="H30:K30"/>
    <mergeCell ref="B27:E27"/>
    <mergeCell ref="H27:K27"/>
    <mergeCell ref="B17:F17"/>
    <mergeCell ref="H17:L17"/>
    <mergeCell ref="B20:F20"/>
    <mergeCell ref="H20:L20"/>
    <mergeCell ref="B23:F23"/>
    <mergeCell ref="H23:L23"/>
    <mergeCell ref="B24:E24"/>
    <mergeCell ref="H24:K24"/>
    <mergeCell ref="B26:F26"/>
    <mergeCell ref="H26:L26"/>
    <mergeCell ref="B29:F29"/>
    <mergeCell ref="H29:L29"/>
    <mergeCell ref="B30:E30"/>
    <mergeCell ref="B42:E42"/>
    <mergeCell ref="H42:K42"/>
    <mergeCell ref="H41:L41"/>
    <mergeCell ref="B47:F47"/>
    <mergeCell ref="H47:L47"/>
    <mergeCell ref="B44:F44"/>
    <mergeCell ref="H44:L44"/>
    <mergeCell ref="H45:K45"/>
    <mergeCell ref="B41:F41"/>
    <mergeCell ref="B39:E39"/>
    <mergeCell ref="H38:L38"/>
    <mergeCell ref="H39:K39"/>
    <mergeCell ref="B32:F32"/>
    <mergeCell ref="H32:L32"/>
    <mergeCell ref="H33:L33"/>
    <mergeCell ref="B36:E36"/>
    <mergeCell ref="B35:F35"/>
    <mergeCell ref="H35:L35"/>
    <mergeCell ref="H36:K36"/>
    <mergeCell ref="B38:F38"/>
    <mergeCell ref="B33:F33"/>
    <mergeCell ref="A4:A5"/>
    <mergeCell ref="N4:P5"/>
    <mergeCell ref="M1:N1"/>
    <mergeCell ref="A2:S2"/>
    <mergeCell ref="U4:Y4"/>
    <mergeCell ref="AF17:AH17"/>
    <mergeCell ref="Q4:R5"/>
    <mergeCell ref="B4:L4"/>
    <mergeCell ref="B5:F5"/>
    <mergeCell ref="H5:L5"/>
    <mergeCell ref="AA4:AE4"/>
    <mergeCell ref="N6:P6"/>
    <mergeCell ref="Q6:R6"/>
    <mergeCell ref="B11:F11"/>
    <mergeCell ref="B14:F14"/>
    <mergeCell ref="B10:G10"/>
    <mergeCell ref="H11:L11"/>
    <mergeCell ref="H14:L14"/>
    <mergeCell ref="H10:L10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2"/>
  <sheetViews>
    <sheetView zoomScaleNormal="100" workbookViewId="0">
      <selection activeCell="AE34" sqref="AE34"/>
    </sheetView>
  </sheetViews>
  <sheetFormatPr defaultRowHeight="15" customHeight="1"/>
  <cols>
    <col min="1" max="1" width="12.140625" customWidth="1"/>
    <col min="2" max="2" width="4.42578125" bestFit="1" customWidth="1"/>
    <col min="3" max="3" width="2.28515625" bestFit="1" customWidth="1"/>
    <col min="4" max="4" width="6.28515625" customWidth="1"/>
    <col min="5" max="5" width="2.7109375" bestFit="1" customWidth="1"/>
    <col min="6" max="6" width="5.7109375" customWidth="1"/>
    <col min="7" max="7" width="14" hidden="1" customWidth="1"/>
    <col min="8" max="8" width="4.7109375" customWidth="1"/>
    <col min="9" max="9" width="2.28515625" bestFit="1" customWidth="1"/>
    <col min="10" max="10" width="5.28515625" customWidth="1"/>
    <col min="11" max="11" width="2.7109375" bestFit="1" customWidth="1"/>
    <col min="12" max="12" width="3" bestFit="1" customWidth="1"/>
    <col min="13" max="13" width="12.7109375" hidden="1" customWidth="1"/>
    <col min="14" max="14" width="3.28515625" customWidth="1"/>
    <col min="15" max="15" width="5.5703125" bestFit="1" customWidth="1"/>
    <col min="16" max="16" width="1.85546875" bestFit="1" customWidth="1"/>
    <col min="17" max="17" width="4" bestFit="1" customWidth="1"/>
    <col min="18" max="18" width="1.85546875" bestFit="1" customWidth="1"/>
    <col min="19" max="19" width="2.140625" customWidth="1"/>
    <col min="20" max="20" width="9.140625" customWidth="1"/>
    <col min="21" max="21" width="9.7109375" customWidth="1"/>
    <col min="22" max="22" width="9.140625" customWidth="1"/>
    <col min="23" max="23" width="6.28515625" customWidth="1"/>
    <col min="25" max="25" width="8.85546875" customWidth="1"/>
    <col min="26" max="26" width="8.85546875" hidden="1" customWidth="1"/>
    <col min="27" max="27" width="9.42578125" customWidth="1"/>
    <col min="29" max="29" width="9.140625" hidden="1" customWidth="1"/>
    <col min="31" max="31" width="10" customWidth="1"/>
    <col min="32" max="32" width="9.7109375" customWidth="1"/>
    <col min="34" max="34" width="7.5703125" customWidth="1"/>
    <col min="35" max="35" width="3" bestFit="1" customWidth="1"/>
  </cols>
  <sheetData>
    <row r="1" spans="1:34" ht="15" customHeight="1">
      <c r="B1" s="3" t="s">
        <v>403</v>
      </c>
      <c r="C1" s="3"/>
      <c r="D1" s="3"/>
      <c r="E1" s="3"/>
      <c r="F1" s="3"/>
      <c r="G1" s="3"/>
      <c r="H1" s="3"/>
      <c r="I1" s="3"/>
      <c r="J1" s="3"/>
      <c r="K1" s="3"/>
      <c r="L1" s="88">
        <v>70</v>
      </c>
      <c r="M1" s="3"/>
      <c r="N1" s="3"/>
    </row>
    <row r="2" spans="1:34" ht="15" customHeight="1">
      <c r="A2" s="802" t="s">
        <v>407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3"/>
      <c r="U2" s="3"/>
      <c r="V2" s="3"/>
    </row>
    <row r="3" spans="1:34" ht="15" customHeight="1" thickBot="1">
      <c r="A3" s="802" t="s">
        <v>408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802"/>
      <c r="O3" s="802"/>
      <c r="P3" s="802"/>
      <c r="Q3" s="802"/>
      <c r="R3" s="802"/>
      <c r="S3" s="802"/>
      <c r="T3" s="3"/>
      <c r="U3" s="3"/>
      <c r="V3" s="3"/>
    </row>
    <row r="4" spans="1:34" ht="15" customHeight="1">
      <c r="A4" s="929" t="s">
        <v>86</v>
      </c>
      <c r="B4" s="922" t="s">
        <v>87</v>
      </c>
      <c r="C4" s="842"/>
      <c r="D4" s="842"/>
      <c r="E4" s="842"/>
      <c r="F4" s="842"/>
      <c r="G4" s="842"/>
      <c r="H4" s="842"/>
      <c r="I4" s="842"/>
      <c r="J4" s="842"/>
      <c r="K4" s="842"/>
      <c r="L4" s="931"/>
      <c r="M4" s="402"/>
      <c r="N4" s="922" t="s">
        <v>88</v>
      </c>
      <c r="O4" s="842"/>
      <c r="P4" s="842"/>
      <c r="Q4" s="829" t="s">
        <v>261</v>
      </c>
      <c r="R4" s="923"/>
      <c r="T4" s="189"/>
      <c r="U4" s="190"/>
      <c r="V4" s="190"/>
      <c r="X4" s="447"/>
      <c r="Y4" s="443" t="s">
        <v>256</v>
      </c>
      <c r="Z4" s="443"/>
      <c r="AA4" s="443" t="s">
        <v>257</v>
      </c>
      <c r="AB4" s="565" t="s">
        <v>258</v>
      </c>
      <c r="AC4" s="565"/>
      <c r="AD4" s="443" t="s">
        <v>259</v>
      </c>
      <c r="AE4" s="565" t="s">
        <v>260</v>
      </c>
      <c r="AF4" s="443" t="s">
        <v>104</v>
      </c>
      <c r="AG4" s="443" t="s">
        <v>214</v>
      </c>
      <c r="AH4" s="287" t="s">
        <v>215</v>
      </c>
    </row>
    <row r="5" spans="1:34" ht="15" customHeight="1">
      <c r="A5" s="930"/>
      <c r="B5" s="926" t="s">
        <v>63</v>
      </c>
      <c r="C5" s="927"/>
      <c r="D5" s="927"/>
      <c r="E5" s="927"/>
      <c r="F5" s="927"/>
      <c r="G5" s="216"/>
      <c r="H5" s="927" t="s">
        <v>64</v>
      </c>
      <c r="I5" s="927"/>
      <c r="J5" s="927"/>
      <c r="K5" s="927"/>
      <c r="L5" s="928"/>
      <c r="M5" s="194"/>
      <c r="N5" s="896"/>
      <c r="O5" s="844"/>
      <c r="P5" s="844"/>
      <c r="Q5" s="924"/>
      <c r="R5" s="925"/>
      <c r="T5" s="189"/>
      <c r="U5" s="191"/>
      <c r="V5" s="191"/>
      <c r="X5" s="242" t="s">
        <v>245</v>
      </c>
      <c r="Y5" s="436">
        <v>220.07966182442905</v>
      </c>
      <c r="Z5" s="436">
        <v>0.69952206192216448</v>
      </c>
      <c r="AA5" s="436">
        <v>25.657976837365666</v>
      </c>
      <c r="AB5" s="436">
        <v>130.07966182442905</v>
      </c>
      <c r="AC5" s="138">
        <v>2.2703183887170608</v>
      </c>
      <c r="AD5" s="436">
        <v>2.2332236233277016</v>
      </c>
      <c r="AE5" s="436">
        <v>5.5411545879642574</v>
      </c>
      <c r="AF5" s="436">
        <v>2.4812358825523457</v>
      </c>
      <c r="AG5" s="436">
        <v>0.33854032884063218</v>
      </c>
      <c r="AH5" s="446">
        <v>8.725276060365692</v>
      </c>
    </row>
    <row r="6" spans="1:34" ht="15" customHeight="1">
      <c r="A6" s="428" t="s">
        <v>83</v>
      </c>
      <c r="B6" s="426">
        <v>44</v>
      </c>
      <c r="C6" s="194" t="s">
        <v>49</v>
      </c>
      <c r="D6" s="175">
        <v>45.256036259816028</v>
      </c>
      <c r="E6" s="425" t="s">
        <v>181</v>
      </c>
      <c r="F6" s="427" t="s">
        <v>421</v>
      </c>
      <c r="G6" s="11">
        <v>0.78110931819643381</v>
      </c>
      <c r="H6" s="426">
        <v>176</v>
      </c>
      <c r="I6" s="194" t="s">
        <v>49</v>
      </c>
      <c r="J6" s="175">
        <v>40.06003884979873</v>
      </c>
      <c r="K6" s="425" t="s">
        <v>181</v>
      </c>
      <c r="L6" s="427" t="s">
        <v>61</v>
      </c>
      <c r="M6" s="11">
        <v>3.0834324764501173</v>
      </c>
      <c r="N6" s="915"/>
      <c r="O6" s="836"/>
      <c r="P6" s="836"/>
      <c r="Q6" s="836"/>
      <c r="R6" s="916"/>
      <c r="X6" s="242" t="s">
        <v>246</v>
      </c>
      <c r="Y6" s="436">
        <v>295.02288184778837</v>
      </c>
      <c r="Z6" s="138">
        <v>-1.1340646502134666</v>
      </c>
      <c r="AA6" s="436">
        <v>17.070726763115506</v>
      </c>
      <c r="AB6" s="436">
        <v>205.02288184778837</v>
      </c>
      <c r="AC6" s="138">
        <v>3.5783243301712226</v>
      </c>
      <c r="AD6" s="436">
        <v>3.3566233468048563</v>
      </c>
      <c r="AE6" s="436">
        <v>6.0620687478431705</v>
      </c>
      <c r="AF6" s="436">
        <v>1.8060020805174959</v>
      </c>
      <c r="AG6" s="436">
        <v>0.16684590194840487</v>
      </c>
      <c r="AH6" s="446">
        <v>35.922695082545999</v>
      </c>
    </row>
    <row r="7" spans="1:34" ht="15" customHeight="1">
      <c r="A7" s="65" t="s">
        <v>84</v>
      </c>
      <c r="B7" s="339">
        <v>44</v>
      </c>
      <c r="C7" s="403" t="s">
        <v>49</v>
      </c>
      <c r="D7" s="340">
        <v>25.623835383247666</v>
      </c>
      <c r="E7" s="341" t="s">
        <v>181</v>
      </c>
      <c r="F7" s="144" t="s">
        <v>421</v>
      </c>
      <c r="G7" s="60">
        <v>0.77539854245128326</v>
      </c>
      <c r="H7" s="339">
        <v>176</v>
      </c>
      <c r="I7" s="403" t="s">
        <v>49</v>
      </c>
      <c r="J7" s="340">
        <v>16.862449237179931</v>
      </c>
      <c r="K7" s="341" t="s">
        <v>181</v>
      </c>
      <c r="L7" s="144" t="s">
        <v>61</v>
      </c>
      <c r="M7" s="60">
        <v>3.0766845711623398</v>
      </c>
      <c r="N7" s="339" t="s">
        <v>109</v>
      </c>
      <c r="O7" s="166">
        <v>225.62081641239331</v>
      </c>
      <c r="P7" s="403" t="s">
        <v>49</v>
      </c>
      <c r="Q7" s="166">
        <v>0.75603625981602818</v>
      </c>
      <c r="R7" s="429" t="s">
        <v>49</v>
      </c>
      <c r="X7" s="242" t="s">
        <v>247</v>
      </c>
      <c r="Y7" s="436">
        <v>25.929862514644672</v>
      </c>
      <c r="Z7" s="436">
        <v>0.45256147547000591</v>
      </c>
      <c r="AA7" s="436">
        <v>23.905228930474667</v>
      </c>
      <c r="AB7" s="436">
        <v>295.9298625146447</v>
      </c>
      <c r="AC7" s="138">
        <v>5.1649504558546964</v>
      </c>
      <c r="AD7" s="436">
        <v>2.3969651228461268</v>
      </c>
      <c r="AE7" s="436">
        <v>18.345384471530135</v>
      </c>
      <c r="AF7" s="436">
        <v>7.6535884050524068</v>
      </c>
      <c r="AG7" s="436">
        <v>0.56907020748044301</v>
      </c>
      <c r="AH7" s="446">
        <v>3.0879360722591924</v>
      </c>
    </row>
    <row r="8" spans="1:34" ht="15" customHeight="1" thickBot="1">
      <c r="A8" s="428" t="s">
        <v>85</v>
      </c>
      <c r="B8" s="426">
        <v>44</v>
      </c>
      <c r="C8" s="194" t="s">
        <v>49</v>
      </c>
      <c r="D8" s="175">
        <v>52.476615242429858</v>
      </c>
      <c r="E8" s="425" t="s">
        <v>181</v>
      </c>
      <c r="F8" s="427" t="s">
        <v>421</v>
      </c>
      <c r="G8" s="11">
        <v>0.78320969948221575</v>
      </c>
      <c r="H8" s="426">
        <v>176</v>
      </c>
      <c r="I8" s="194" t="s">
        <v>49</v>
      </c>
      <c r="J8" s="175">
        <v>18.254851786894619</v>
      </c>
      <c r="K8" s="425" t="s">
        <v>181</v>
      </c>
      <c r="L8" s="427" t="s">
        <v>61</v>
      </c>
      <c r="M8" s="11">
        <v>3.0770896046457681</v>
      </c>
      <c r="N8" s="426" t="s">
        <v>110</v>
      </c>
      <c r="O8" s="62">
        <v>301.08495059563154</v>
      </c>
      <c r="P8" s="194" t="s">
        <v>49</v>
      </c>
      <c r="Q8" s="62">
        <v>0.56003884979872964</v>
      </c>
      <c r="R8" s="430" t="s">
        <v>49</v>
      </c>
      <c r="X8" s="243" t="s">
        <v>248</v>
      </c>
      <c r="Y8" s="159">
        <v>110.97162421386034</v>
      </c>
      <c r="Z8" s="154">
        <v>-1.2047724347720663</v>
      </c>
      <c r="AA8" s="159">
        <v>28.740463990453783</v>
      </c>
      <c r="AB8" s="159">
        <v>20.971624213860338</v>
      </c>
      <c r="AC8" s="154">
        <v>0.36602389202283031</v>
      </c>
      <c r="AD8" s="159">
        <v>1.9937047647884993</v>
      </c>
      <c r="AE8" s="159">
        <v>4.4771522324394937</v>
      </c>
      <c r="AF8" s="159">
        <v>2.2456445465306638</v>
      </c>
      <c r="AG8" s="159">
        <v>0.58586609732461747</v>
      </c>
      <c r="AH8" s="247">
        <v>2.9134211301425652</v>
      </c>
    </row>
    <row r="9" spans="1:34" ht="15" customHeight="1" thickBot="1">
      <c r="A9" s="65" t="s">
        <v>107</v>
      </c>
      <c r="B9" s="339">
        <v>45</v>
      </c>
      <c r="C9" s="403" t="s">
        <v>49</v>
      </c>
      <c r="D9" s="340">
        <v>6.7547256991836946</v>
      </c>
      <c r="E9" s="341" t="s">
        <v>181</v>
      </c>
      <c r="F9" s="144" t="s">
        <v>421</v>
      </c>
      <c r="G9" s="60">
        <v>0.78736303345611203</v>
      </c>
      <c r="H9" s="339">
        <v>176</v>
      </c>
      <c r="I9" s="403" t="s">
        <v>49</v>
      </c>
      <c r="J9" s="340">
        <v>54.82574095852442</v>
      </c>
      <c r="K9" s="341" t="s">
        <v>181</v>
      </c>
      <c r="L9" s="144" t="s">
        <v>61</v>
      </c>
      <c r="M9" s="60">
        <v>3.0877276450862161</v>
      </c>
      <c r="N9" s="339" t="s">
        <v>111</v>
      </c>
      <c r="O9" s="166">
        <v>44.275246986174807</v>
      </c>
      <c r="P9" s="403" t="s">
        <v>49</v>
      </c>
      <c r="Q9" s="166">
        <v>1.3640414397814311</v>
      </c>
      <c r="R9" s="429" t="s">
        <v>49</v>
      </c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spans="1:34" ht="15" customHeight="1" thickBot="1">
      <c r="A10" s="431" t="s">
        <v>108</v>
      </c>
      <c r="B10" s="422">
        <v>44</v>
      </c>
      <c r="C10" s="406" t="s">
        <v>49</v>
      </c>
      <c r="D10" s="432">
        <v>34.969664714716089</v>
      </c>
      <c r="E10" s="433" t="s">
        <v>181</v>
      </c>
      <c r="F10" s="153" t="s">
        <v>421</v>
      </c>
      <c r="G10" s="24">
        <v>0.77811713400400961</v>
      </c>
      <c r="H10" s="422">
        <v>177</v>
      </c>
      <c r="I10" s="406" t="s">
        <v>49</v>
      </c>
      <c r="J10" s="432">
        <v>17.795105785199326</v>
      </c>
      <c r="K10" s="433" t="s">
        <v>181</v>
      </c>
      <c r="L10" s="153" t="s">
        <v>61</v>
      </c>
      <c r="M10" s="24">
        <v>3.0944091624748369</v>
      </c>
      <c r="N10" s="422" t="s">
        <v>112</v>
      </c>
      <c r="O10" s="150">
        <v>115.44877644629983</v>
      </c>
      <c r="P10" s="406" t="s">
        <v>49</v>
      </c>
      <c r="Q10" s="150">
        <v>1.1680440297641326</v>
      </c>
      <c r="R10" s="434" t="s">
        <v>49</v>
      </c>
      <c r="X10" s="442"/>
      <c r="Y10" s="443" t="s">
        <v>91</v>
      </c>
      <c r="Z10" s="566"/>
      <c r="AA10" s="443" t="s">
        <v>92</v>
      </c>
      <c r="AB10" s="443" t="s">
        <v>113</v>
      </c>
      <c r="AC10" s="566"/>
      <c r="AD10" s="443" t="s">
        <v>114</v>
      </c>
      <c r="AE10" s="409" t="s">
        <v>6</v>
      </c>
      <c r="AF10" s="287"/>
      <c r="AG10" s="70"/>
      <c r="AH10" s="70"/>
    </row>
    <row r="11" spans="1:34" ht="15" customHeight="1">
      <c r="A11" s="282" t="s">
        <v>83</v>
      </c>
      <c r="B11" s="199">
        <v>44</v>
      </c>
      <c r="C11" s="199" t="s">
        <v>49</v>
      </c>
      <c r="D11" s="199">
        <v>45.256036259816028</v>
      </c>
      <c r="E11" s="283" t="s">
        <v>181</v>
      </c>
      <c r="F11" s="282" t="s">
        <v>421</v>
      </c>
      <c r="G11" s="199">
        <v>0.78110931819643381</v>
      </c>
      <c r="H11" s="199">
        <v>176</v>
      </c>
      <c r="I11" s="199" t="s">
        <v>49</v>
      </c>
      <c r="J11" s="199">
        <v>40.06003884979873</v>
      </c>
      <c r="K11" s="283" t="s">
        <v>181</v>
      </c>
      <c r="L11" s="282" t="s">
        <v>61</v>
      </c>
      <c r="M11" s="284">
        <v>3.0834324764501173</v>
      </c>
      <c r="N11" s="285"/>
      <c r="O11" s="285"/>
      <c r="P11" s="285"/>
      <c r="Q11" s="285"/>
      <c r="R11" s="285"/>
      <c r="X11" s="567" t="s">
        <v>116</v>
      </c>
      <c r="Y11" s="436">
        <v>0.76514999608145018</v>
      </c>
      <c r="Z11" s="70"/>
      <c r="AA11" s="436">
        <v>-0.42298017435410984</v>
      </c>
      <c r="AB11" s="436">
        <v>-0.89932999603950659</v>
      </c>
      <c r="AC11" s="70"/>
      <c r="AD11" s="436">
        <v>0.35790554907243904</v>
      </c>
      <c r="AE11" s="436"/>
      <c r="AF11" s="446"/>
      <c r="AG11" s="70"/>
      <c r="AH11" s="70"/>
    </row>
    <row r="12" spans="1:34" ht="15" customHeight="1">
      <c r="A12" s="2"/>
      <c r="B12" s="879" t="s">
        <v>245</v>
      </c>
      <c r="C12" s="880"/>
      <c r="D12" s="880"/>
      <c r="E12" s="880"/>
      <c r="F12" s="880"/>
      <c r="G12" s="881"/>
      <c r="H12" s="879" t="s">
        <v>246</v>
      </c>
      <c r="I12" s="880"/>
      <c r="J12" s="880"/>
      <c r="K12" s="880"/>
      <c r="L12" s="880"/>
      <c r="M12" s="881"/>
      <c r="N12" s="109"/>
      <c r="X12" s="567" t="s">
        <v>117</v>
      </c>
      <c r="Y12" s="436">
        <v>-0.64385206646912041</v>
      </c>
      <c r="Z12" s="70"/>
      <c r="AA12" s="436">
        <v>-0.90613893642386145</v>
      </c>
      <c r="AB12" s="436">
        <v>0.43727057781604861</v>
      </c>
      <c r="AC12" s="70"/>
      <c r="AD12" s="436">
        <v>0.93375779404680526</v>
      </c>
      <c r="AE12" s="436"/>
      <c r="AF12" s="446"/>
      <c r="AG12" s="70"/>
      <c r="AH12" s="70"/>
    </row>
    <row r="13" spans="1:34" ht="15" customHeight="1">
      <c r="A13" s="317" t="s">
        <v>291</v>
      </c>
      <c r="B13" s="5">
        <v>0</v>
      </c>
      <c r="C13" s="60" t="s">
        <v>49</v>
      </c>
      <c r="D13" s="51">
        <v>19.632200876568273</v>
      </c>
      <c r="E13" s="56" t="s">
        <v>50</v>
      </c>
      <c r="F13" s="186" t="s">
        <v>6</v>
      </c>
      <c r="G13" s="181">
        <v>-5.7107757451505536E-3</v>
      </c>
      <c r="H13" s="5">
        <v>0</v>
      </c>
      <c r="I13" s="60" t="s">
        <v>49</v>
      </c>
      <c r="J13" s="51">
        <v>7.2205789826139775</v>
      </c>
      <c r="K13" s="56" t="s">
        <v>50</v>
      </c>
      <c r="L13" s="186" t="s">
        <v>421</v>
      </c>
      <c r="M13">
        <v>2.1003812857819382E-3</v>
      </c>
      <c r="X13" s="567" t="s">
        <v>118</v>
      </c>
      <c r="Y13" s="436">
        <v>5.1082522772804646</v>
      </c>
      <c r="Z13" s="70"/>
      <c r="AA13" s="436">
        <v>6.4270094092697336</v>
      </c>
      <c r="AB13" s="436">
        <v>2.497505531804141</v>
      </c>
      <c r="AC13" s="70"/>
      <c r="AD13" s="436">
        <v>0.37319870617922446</v>
      </c>
      <c r="AE13" s="436">
        <v>14.405965924533563</v>
      </c>
      <c r="AF13" s="568" t="s">
        <v>110</v>
      </c>
      <c r="AG13" s="70"/>
      <c r="AH13" s="70"/>
    </row>
    <row r="14" spans="1:34" ht="15" customHeight="1">
      <c r="A14" s="318" t="s">
        <v>292</v>
      </c>
      <c r="B14" s="30">
        <v>0</v>
      </c>
      <c r="C14" s="31" t="s">
        <v>49</v>
      </c>
      <c r="D14" s="31">
        <v>23.197589612619602</v>
      </c>
      <c r="E14" s="32" t="s">
        <v>50</v>
      </c>
      <c r="F14" s="187" t="s">
        <v>422</v>
      </c>
      <c r="G14">
        <v>-6.747905287777467E-3</v>
      </c>
      <c r="H14" s="30">
        <v>0</v>
      </c>
      <c r="I14" s="31" t="s">
        <v>49</v>
      </c>
      <c r="J14" s="180">
        <v>21.805187062904395</v>
      </c>
      <c r="K14" s="32" t="s">
        <v>50</v>
      </c>
      <c r="L14" s="187" t="s">
        <v>422</v>
      </c>
      <c r="M14">
        <v>-6.342871804349226E-3</v>
      </c>
      <c r="X14" s="567" t="s">
        <v>119</v>
      </c>
      <c r="Y14" s="436">
        <v>3.6170237830852265</v>
      </c>
      <c r="Z14" s="70"/>
      <c r="AA14" s="436">
        <v>29.495685673276267</v>
      </c>
      <c r="AB14" s="436">
        <v>0.59043054045505106</v>
      </c>
      <c r="AC14" s="70"/>
      <c r="AD14" s="436">
        <v>2.5402224239633409</v>
      </c>
      <c r="AE14" s="436">
        <v>36.243362420779889</v>
      </c>
      <c r="AF14" s="568" t="s">
        <v>123</v>
      </c>
      <c r="AG14" s="70"/>
      <c r="AH14" s="70"/>
    </row>
    <row r="15" spans="1:34" ht="15" customHeight="1">
      <c r="A15" s="323" t="s">
        <v>293</v>
      </c>
      <c r="B15" s="5">
        <v>44</v>
      </c>
      <c r="C15" s="60" t="s">
        <v>49</v>
      </c>
      <c r="D15" s="51">
        <v>35.439935821531634</v>
      </c>
      <c r="E15" s="56" t="s">
        <v>50</v>
      </c>
      <c r="F15" s="186" t="s">
        <v>421</v>
      </c>
      <c r="G15">
        <v>0.77825393032385848</v>
      </c>
      <c r="H15" s="5">
        <v>44</v>
      </c>
      <c r="I15" s="60" t="s">
        <v>49</v>
      </c>
      <c r="J15" s="51">
        <v>48.86632575112273</v>
      </c>
      <c r="K15" s="56" t="s">
        <v>50</v>
      </c>
      <c r="L15" s="186" t="s">
        <v>421</v>
      </c>
      <c r="M15">
        <v>0.78215950883932472</v>
      </c>
      <c r="X15" s="567" t="s">
        <v>120</v>
      </c>
      <c r="Y15" s="436">
        <v>-4.2984497178544157</v>
      </c>
      <c r="Z15" s="70"/>
      <c r="AA15" s="436">
        <v>13.768407655027108</v>
      </c>
      <c r="AB15" s="436">
        <v>-1.2143325495648212</v>
      </c>
      <c r="AC15" s="70"/>
      <c r="AD15" s="436">
        <v>0.97365688105747616</v>
      </c>
      <c r="AE15" s="436">
        <v>9.2292822686653473</v>
      </c>
      <c r="AF15" s="568" t="s">
        <v>124</v>
      </c>
      <c r="AG15" s="70"/>
      <c r="AH15" s="70"/>
    </row>
    <row r="16" spans="1:34" ht="15" customHeight="1">
      <c r="A16" s="318" t="s">
        <v>294</v>
      </c>
      <c r="B16" s="5">
        <v>0</v>
      </c>
      <c r="C16" s="60" t="s">
        <v>49</v>
      </c>
      <c r="D16" s="60">
        <v>16.519941408154715</v>
      </c>
      <c r="E16" s="56" t="s">
        <v>50</v>
      </c>
      <c r="F16" s="186" t="s">
        <v>422</v>
      </c>
      <c r="G16">
        <v>-4.8054561634808032E-3</v>
      </c>
      <c r="H16" s="5">
        <v>0</v>
      </c>
      <c r="I16" s="60" t="s">
        <v>49</v>
      </c>
      <c r="J16" s="51">
        <v>15.468450193111831</v>
      </c>
      <c r="K16" s="56" t="s">
        <v>50</v>
      </c>
      <c r="L16" s="186" t="s">
        <v>422</v>
      </c>
      <c r="M16">
        <v>-4.499589767509235E-3</v>
      </c>
      <c r="X16" s="567" t="s">
        <v>121</v>
      </c>
      <c r="Y16" s="436">
        <v>16.56509039068046</v>
      </c>
      <c r="Z16" s="70"/>
      <c r="AA16" s="436">
        <v>-27.441457232294226</v>
      </c>
      <c r="AB16" s="436">
        <v>-21.254577812314761</v>
      </c>
      <c r="AC16" s="70"/>
      <c r="AD16" s="436">
        <v>2.341600015634437</v>
      </c>
      <c r="AE16" s="436">
        <v>-29.789344638294086</v>
      </c>
      <c r="AF16" s="568" t="s">
        <v>125</v>
      </c>
      <c r="AG16" s="70"/>
      <c r="AH16" s="70"/>
    </row>
    <row r="17" spans="1:34" ht="15" customHeight="1" thickBot="1">
      <c r="A17" s="318"/>
      <c r="B17" s="11"/>
      <c r="C17" s="11"/>
      <c r="D17" s="11"/>
      <c r="E17" s="27"/>
      <c r="F17" s="192"/>
      <c r="H17" s="11"/>
      <c r="I17" s="11"/>
      <c r="J17" s="29"/>
      <c r="K17" s="27"/>
      <c r="L17" s="192"/>
      <c r="X17" s="569" t="s">
        <v>122</v>
      </c>
      <c r="Y17" s="159">
        <v>-13.939054739473651</v>
      </c>
      <c r="Z17" s="570"/>
      <c r="AA17" s="159">
        <v>-58.787088327158536</v>
      </c>
      <c r="AB17" s="159">
        <v>10.334361760595348</v>
      </c>
      <c r="AC17" s="570"/>
      <c r="AD17" s="159">
        <v>6.1091180922043709</v>
      </c>
      <c r="AE17" s="159">
        <v>-56.282663213832471</v>
      </c>
      <c r="AF17" s="571" t="s">
        <v>126</v>
      </c>
      <c r="AG17" s="70"/>
      <c r="AH17" s="70"/>
    </row>
    <row r="18" spans="1:34" ht="15" customHeight="1">
      <c r="A18" s="319"/>
      <c r="B18" s="879" t="s">
        <v>247</v>
      </c>
      <c r="C18" s="880"/>
      <c r="D18" s="880"/>
      <c r="E18" s="880"/>
      <c r="F18" s="880"/>
      <c r="G18" s="881"/>
      <c r="H18" s="879" t="s">
        <v>248</v>
      </c>
      <c r="I18" s="880"/>
      <c r="J18" s="880"/>
      <c r="K18" s="880"/>
      <c r="L18" s="880"/>
      <c r="M18" s="881"/>
      <c r="N18" s="109"/>
      <c r="X18" s="177"/>
      <c r="Y18" s="62"/>
      <c r="Z18" s="62"/>
      <c r="AA18" s="175"/>
      <c r="AB18" s="160"/>
      <c r="AC18" s="160"/>
      <c r="AD18" s="160"/>
      <c r="AE18" s="70"/>
      <c r="AF18" s="70"/>
      <c r="AG18" s="70"/>
      <c r="AH18" s="70"/>
    </row>
    <row r="19" spans="1:34" ht="15" customHeight="1">
      <c r="A19" s="317" t="s">
        <v>291</v>
      </c>
      <c r="B19" s="30">
        <v>0</v>
      </c>
      <c r="C19" s="31" t="s">
        <v>49</v>
      </c>
      <c r="D19" s="180">
        <v>21.49868943936729</v>
      </c>
      <c r="E19" s="32" t="s">
        <v>50</v>
      </c>
      <c r="F19" s="47" t="s">
        <v>421</v>
      </c>
      <c r="G19">
        <v>6.2537152596782164E-3</v>
      </c>
      <c r="H19" s="30">
        <v>0</v>
      </c>
      <c r="I19" s="31" t="s">
        <v>49</v>
      </c>
      <c r="J19" s="180">
        <v>10.286371545100023</v>
      </c>
      <c r="K19" s="32" t="s">
        <v>50</v>
      </c>
      <c r="L19" s="47" t="s">
        <v>6</v>
      </c>
      <c r="M19">
        <v>-2.9921841924241965E-3</v>
      </c>
      <c r="X19" s="438" t="s">
        <v>60</v>
      </c>
      <c r="Y19" s="436">
        <v>436.94099282957472</v>
      </c>
      <c r="Z19" s="62"/>
      <c r="AA19" s="175"/>
      <c r="AB19" s="160"/>
      <c r="AC19" s="160"/>
      <c r="AD19" s="160"/>
      <c r="AE19" s="70"/>
      <c r="AF19" s="70"/>
      <c r="AG19" s="70"/>
      <c r="AH19" s="70"/>
    </row>
    <row r="20" spans="1:34" ht="15" customHeight="1" thickBot="1">
      <c r="A20" s="318" t="s">
        <v>292</v>
      </c>
      <c r="B20" s="30">
        <v>0</v>
      </c>
      <c r="C20" s="31" t="s">
        <v>49</v>
      </c>
      <c r="D20" s="180">
        <v>14.765702108725405</v>
      </c>
      <c r="E20" s="32" t="s">
        <v>50</v>
      </c>
      <c r="F20" s="47" t="s">
        <v>61</v>
      </c>
      <c r="G20">
        <v>4.2951686360988006E-3</v>
      </c>
      <c r="H20" s="30">
        <v>0</v>
      </c>
      <c r="I20" s="31" t="s">
        <v>49</v>
      </c>
      <c r="J20" s="31">
        <v>37.735066935399885</v>
      </c>
      <c r="K20" s="32" t="s">
        <v>50</v>
      </c>
      <c r="L20" s="47" t="s">
        <v>61</v>
      </c>
      <c r="M20">
        <v>1.0976686024719573E-2</v>
      </c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</row>
    <row r="21" spans="1:34" ht="15" customHeight="1">
      <c r="A21" s="323" t="s">
        <v>293</v>
      </c>
      <c r="B21" s="30">
        <v>44</v>
      </c>
      <c r="C21" s="31" t="s">
        <v>49</v>
      </c>
      <c r="D21" s="31">
        <v>56.005380979499648</v>
      </c>
      <c r="E21" s="32" t="s">
        <v>50</v>
      </c>
      <c r="F21" s="47" t="s">
        <v>421</v>
      </c>
      <c r="G21">
        <v>0.78423617582627292</v>
      </c>
      <c r="H21" s="30">
        <v>44</v>
      </c>
      <c r="I21" s="31" t="s">
        <v>49</v>
      </c>
      <c r="J21" s="31">
        <v>40.112850487266059</v>
      </c>
      <c r="K21" s="32" t="s">
        <v>50</v>
      </c>
      <c r="L21" s="47" t="s">
        <v>421</v>
      </c>
      <c r="M21">
        <v>0.77961322610022177</v>
      </c>
      <c r="X21" s="442" t="s">
        <v>129</v>
      </c>
      <c r="Y21" s="409" t="s">
        <v>139</v>
      </c>
      <c r="Z21" s="409"/>
      <c r="AA21" s="443" t="s">
        <v>138</v>
      </c>
      <c r="AB21" s="409" t="s">
        <v>136</v>
      </c>
      <c r="AC21" s="409"/>
      <c r="AD21" s="409" t="s">
        <v>137</v>
      </c>
      <c r="AE21" s="409" t="s">
        <v>140</v>
      </c>
      <c r="AF21" s="287" t="s">
        <v>141</v>
      </c>
      <c r="AG21" s="70"/>
      <c r="AH21" s="70"/>
    </row>
    <row r="22" spans="1:34" ht="15" customHeight="1">
      <c r="A22" s="318" t="s">
        <v>294</v>
      </c>
      <c r="B22" s="30">
        <v>0</v>
      </c>
      <c r="C22" s="31" t="s">
        <v>49</v>
      </c>
      <c r="D22" s="180">
        <v>10.453053267253566</v>
      </c>
      <c r="E22" s="32" t="s">
        <v>50</v>
      </c>
      <c r="F22" s="47" t="s">
        <v>61</v>
      </c>
      <c r="G22">
        <v>3.0406699399987583E-3</v>
      </c>
      <c r="H22" s="30">
        <v>0</v>
      </c>
      <c r="I22" s="31" t="s">
        <v>49</v>
      </c>
      <c r="J22" s="31">
        <v>26.836632255607768</v>
      </c>
      <c r="K22" s="32" t="s">
        <v>50</v>
      </c>
      <c r="L22" s="47" t="s">
        <v>61</v>
      </c>
      <c r="M22">
        <v>7.8064598834544667E-3</v>
      </c>
      <c r="X22" s="445" t="s">
        <v>130</v>
      </c>
      <c r="Y22" s="436">
        <v>-74.943220023359316</v>
      </c>
      <c r="Z22" s="436"/>
      <c r="AA22" s="436">
        <v>292.2836653980151</v>
      </c>
      <c r="AB22" s="436">
        <v>-2.5178155413701262</v>
      </c>
      <c r="AC22" s="436"/>
      <c r="AD22" s="436">
        <v>1.1241392506804131</v>
      </c>
      <c r="AE22" s="436">
        <v>-735.91635522774823</v>
      </c>
      <c r="AF22" s="446">
        <v>328.56754060664929</v>
      </c>
      <c r="AG22" s="70"/>
      <c r="AH22" s="70"/>
    </row>
    <row r="23" spans="1:34" ht="15" customHeight="1">
      <c r="A23" s="318"/>
      <c r="B23" s="11"/>
      <c r="C23" s="11"/>
      <c r="D23" s="11"/>
      <c r="E23" s="27"/>
      <c r="F23" s="192"/>
      <c r="H23" s="11"/>
      <c r="I23" s="11"/>
      <c r="J23" s="29"/>
      <c r="K23" s="27"/>
      <c r="L23" s="192"/>
      <c r="X23" s="242" t="s">
        <v>131</v>
      </c>
      <c r="Y23" s="436">
        <v>-165.85020069021564</v>
      </c>
      <c r="Z23" s="436"/>
      <c r="AA23" s="436">
        <v>1.6101102496612736</v>
      </c>
      <c r="AB23" s="436">
        <v>-33.083787203971774</v>
      </c>
      <c r="AC23" s="436"/>
      <c r="AD23" s="436">
        <v>-24.596260826937463</v>
      </c>
      <c r="AE23" s="436">
        <v>-53.268544874727439</v>
      </c>
      <c r="AF23" s="446">
        <v>-39.602691660794086</v>
      </c>
      <c r="AG23" s="70"/>
      <c r="AH23" s="70"/>
    </row>
    <row r="24" spans="1:34" ht="15" customHeight="1">
      <c r="A24" s="320" t="s">
        <v>291</v>
      </c>
      <c r="B24" s="917">
        <v>-1.2264169920630745</v>
      </c>
      <c r="C24" s="918"/>
      <c r="D24" s="918"/>
      <c r="E24" s="919"/>
      <c r="F24" s="110" t="s">
        <v>50</v>
      </c>
      <c r="G24" s="120">
        <v>-3.5675024189843024E-4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X24" s="242" t="s">
        <v>132</v>
      </c>
      <c r="Y24" s="436">
        <v>109.10803761056872</v>
      </c>
      <c r="Z24" s="436"/>
      <c r="AA24" s="436">
        <v>22.696395869413561</v>
      </c>
      <c r="AB24" s="436">
        <v>0.87861592693338908</v>
      </c>
      <c r="AC24" s="436"/>
      <c r="AD24" s="436">
        <v>3.9821402056398156</v>
      </c>
      <c r="AE24" s="436">
        <v>19.941414894851938</v>
      </c>
      <c r="AF24" s="446">
        <v>90.380230514709183</v>
      </c>
      <c r="AG24" s="70"/>
      <c r="AH24" s="70"/>
    </row>
    <row r="25" spans="1:34" ht="15" customHeight="1">
      <c r="A25" s="321" t="s">
        <v>294</v>
      </c>
      <c r="B25" s="917">
        <v>-1.2821352026108239</v>
      </c>
      <c r="C25" s="918"/>
      <c r="D25" s="918"/>
      <c r="E25" s="919"/>
      <c r="F25" s="110" t="s">
        <v>50</v>
      </c>
      <c r="G25" s="120">
        <v>-3.7295801235472456E-4</v>
      </c>
      <c r="I25" s="70"/>
      <c r="J25" s="70"/>
      <c r="K25" s="70"/>
      <c r="L25" s="70"/>
      <c r="N25" s="1"/>
      <c r="O25" s="1"/>
      <c r="P25" s="1"/>
      <c r="Q25" s="1"/>
      <c r="R25" s="1"/>
      <c r="S25" s="1"/>
      <c r="X25" s="242" t="s">
        <v>133</v>
      </c>
      <c r="Y25" s="436">
        <v>-90.906980666856327</v>
      </c>
      <c r="Z25" s="436"/>
      <c r="AA25" s="436">
        <v>110.8991919147422</v>
      </c>
      <c r="AB25" s="436">
        <v>1.6133264455771077</v>
      </c>
      <c r="AC25" s="436"/>
      <c r="AD25" s="436">
        <v>-7.7258939972950369</v>
      </c>
      <c r="AE25" s="436">
        <v>178.91659910918455</v>
      </c>
      <c r="AF25" s="446">
        <v>-856.79540111897711</v>
      </c>
      <c r="AG25" s="70"/>
      <c r="AH25" s="70"/>
    </row>
    <row r="26" spans="1:34" ht="15" customHeight="1">
      <c r="A26" s="322"/>
      <c r="B26" s="1"/>
      <c r="C26" s="1"/>
      <c r="D26" s="1"/>
      <c r="E26" s="1"/>
      <c r="F26" s="1"/>
      <c r="G26" s="120"/>
      <c r="N26" s="1"/>
      <c r="O26" s="1"/>
      <c r="P26" s="1"/>
      <c r="Q26" s="1"/>
      <c r="R26" s="1"/>
      <c r="S26" s="1"/>
      <c r="X26" s="242" t="s">
        <v>134</v>
      </c>
      <c r="Y26" s="436">
        <v>184.05125763392803</v>
      </c>
      <c r="Z26" s="436"/>
      <c r="AA26" s="436">
        <v>0.52237544254301271</v>
      </c>
      <c r="AB26" s="436">
        <v>22.594006678293141</v>
      </c>
      <c r="AC26" s="436"/>
      <c r="AD26" s="436">
        <v>-52.672235278072186</v>
      </c>
      <c r="AE26" s="436">
        <v>11.802554237393164</v>
      </c>
      <c r="AF26" s="446">
        <v>-27.514682213112646</v>
      </c>
      <c r="AG26" s="70"/>
      <c r="AH26" s="70"/>
    </row>
    <row r="27" spans="1:34" ht="15" customHeight="1">
      <c r="A27" s="324" t="s">
        <v>293</v>
      </c>
      <c r="B27" s="5">
        <v>44</v>
      </c>
      <c r="C27" s="60" t="s">
        <v>49</v>
      </c>
      <c r="D27" s="51">
        <v>44.642827763784396</v>
      </c>
      <c r="E27" s="56" t="s">
        <v>50</v>
      </c>
      <c r="F27" s="15" t="s">
        <v>421</v>
      </c>
      <c r="G27" s="120">
        <v>0.78093094307548461</v>
      </c>
      <c r="N27" s="1"/>
      <c r="O27" s="1"/>
      <c r="P27" s="1"/>
      <c r="Q27" s="1"/>
      <c r="R27" s="1"/>
      <c r="S27" s="1"/>
      <c r="X27" s="242" t="s">
        <v>135</v>
      </c>
      <c r="Y27" s="436">
        <v>274.95823830078439</v>
      </c>
      <c r="Z27" s="436"/>
      <c r="AA27" s="436">
        <v>8.9292539551996057</v>
      </c>
      <c r="AB27" s="436">
        <v>4.7767119112015628</v>
      </c>
      <c r="AC27" s="436"/>
      <c r="AD27" s="436">
        <v>-6.1877985301137883</v>
      </c>
      <c r="AE27" s="436">
        <v>42.652473725945626</v>
      </c>
      <c r="AF27" s="446">
        <v>-55.252424498996852</v>
      </c>
      <c r="AG27" s="70"/>
      <c r="AH27" s="70"/>
    </row>
    <row r="28" spans="1:34" ht="15" customHeight="1" thickBot="1">
      <c r="A28" s="321" t="s">
        <v>292</v>
      </c>
      <c r="B28" s="917">
        <v>-1.8051669526317571</v>
      </c>
      <c r="C28" s="918"/>
      <c r="D28" s="918"/>
      <c r="E28" s="919"/>
      <c r="F28" s="110" t="s">
        <v>50</v>
      </c>
      <c r="G28" s="120">
        <v>-5.2510178119361125E-4</v>
      </c>
      <c r="I28" s="70"/>
      <c r="J28" s="70"/>
      <c r="K28" s="70"/>
      <c r="L28" s="70"/>
      <c r="N28" s="1"/>
      <c r="O28" s="1"/>
      <c r="P28" s="1"/>
      <c r="Q28" s="1"/>
      <c r="R28" s="1"/>
      <c r="S28" s="1"/>
      <c r="X28" s="572" t="s">
        <v>6</v>
      </c>
      <c r="Y28" s="159"/>
      <c r="Z28" s="159"/>
      <c r="AA28" s="159">
        <v>436.94099282957472</v>
      </c>
      <c r="AB28" s="159"/>
      <c r="AC28" s="159"/>
      <c r="AD28" s="159"/>
      <c r="AE28" s="159">
        <v>-535.87185813510052</v>
      </c>
      <c r="AF28" s="247">
        <v>-560.21742837052227</v>
      </c>
      <c r="AG28" s="70"/>
      <c r="AH28" s="70"/>
    </row>
    <row r="29" spans="1:34" ht="15" customHeight="1" thickBot="1">
      <c r="A29" s="322"/>
      <c r="B29" s="1"/>
      <c r="C29" s="1"/>
      <c r="D29" s="1"/>
      <c r="E29" s="1"/>
      <c r="F29" s="1"/>
      <c r="G29" s="120"/>
      <c r="N29" s="1"/>
      <c r="O29" s="1"/>
      <c r="P29" s="1"/>
      <c r="Q29" s="1"/>
      <c r="R29" s="1"/>
      <c r="S29" s="1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spans="1:34" ht="15" customHeight="1">
      <c r="A30" s="320" t="s">
        <v>295</v>
      </c>
      <c r="B30" s="72">
        <v>44</v>
      </c>
      <c r="C30" s="73" t="s">
        <v>49</v>
      </c>
      <c r="D30" s="74">
        <v>44.029619267752764</v>
      </c>
      <c r="E30" s="75" t="s">
        <v>50</v>
      </c>
      <c r="F30" s="76" t="s">
        <v>421</v>
      </c>
      <c r="G30" s="120">
        <v>0.7807525679545354</v>
      </c>
      <c r="N30" s="1"/>
      <c r="O30" s="1"/>
      <c r="P30" s="1"/>
      <c r="Q30" s="1"/>
      <c r="R30" s="1"/>
      <c r="S30" s="1"/>
      <c r="X30" s="573" t="s">
        <v>225</v>
      </c>
      <c r="Y30" s="574">
        <v>0.84527313228495771</v>
      </c>
      <c r="Z30" s="178"/>
      <c r="AA30" s="70"/>
      <c r="AB30" s="573" t="s">
        <v>3</v>
      </c>
      <c r="AC30" s="577"/>
      <c r="AD30" s="574">
        <v>0.30112977409254865</v>
      </c>
      <c r="AE30" s="70"/>
      <c r="AF30" s="70"/>
      <c r="AG30" s="70"/>
      <c r="AH30" s="70"/>
    </row>
    <row r="31" spans="1:34" ht="15" customHeight="1" thickBot="1">
      <c r="A31" s="321" t="s">
        <v>296</v>
      </c>
      <c r="B31" s="72">
        <v>176</v>
      </c>
      <c r="C31" s="73" t="s">
        <v>49</v>
      </c>
      <c r="D31" s="74">
        <v>38.254871897166822</v>
      </c>
      <c r="E31" s="75" t="s">
        <v>50</v>
      </c>
      <c r="F31" s="76" t="s">
        <v>61</v>
      </c>
      <c r="G31" s="120">
        <v>3.0829073746689235</v>
      </c>
      <c r="I31" s="70"/>
      <c r="J31" s="70"/>
      <c r="K31" s="70"/>
      <c r="L31" s="70"/>
      <c r="N31" s="1"/>
      <c r="O31" s="1"/>
      <c r="P31" s="1"/>
      <c r="Q31" s="1"/>
      <c r="R31" s="1"/>
      <c r="S31" s="1"/>
      <c r="X31" s="567" t="s">
        <v>207</v>
      </c>
      <c r="Y31" s="575">
        <v>50.64932834531345</v>
      </c>
      <c r="Z31" s="178"/>
      <c r="AA31" s="70"/>
      <c r="AB31" s="569" t="s">
        <v>4</v>
      </c>
      <c r="AC31" s="159"/>
      <c r="AD31" s="576">
        <v>0.15886744319381482</v>
      </c>
      <c r="AE31" s="285" t="e">
        <v>#REF!</v>
      </c>
      <c r="AF31" s="70"/>
      <c r="AG31" s="70"/>
      <c r="AH31" s="70"/>
    </row>
    <row r="32" spans="1:34" ht="15" customHeight="1" thickBot="1">
      <c r="X32" s="567" t="s">
        <v>208</v>
      </c>
      <c r="Y32" s="575">
        <v>28.593539314206517</v>
      </c>
      <c r="Z32" s="178"/>
      <c r="AA32" s="70"/>
      <c r="AB32" s="70"/>
      <c r="AC32" s="70"/>
      <c r="AD32" s="70"/>
      <c r="AE32" s="70"/>
      <c r="AF32" s="70"/>
      <c r="AG32" s="70"/>
      <c r="AH32" s="70"/>
    </row>
    <row r="33" spans="24:34" ht="15" customHeight="1">
      <c r="X33" s="567" t="s">
        <v>209</v>
      </c>
      <c r="Y33" s="575">
        <v>11.027894515553466</v>
      </c>
      <c r="Z33" s="178"/>
      <c r="AA33" s="70"/>
      <c r="AB33" s="578" t="s">
        <v>115</v>
      </c>
      <c r="AC33" s="417"/>
      <c r="AD33" s="417" t="s">
        <v>128</v>
      </c>
      <c r="AE33" s="419" t="s">
        <v>127</v>
      </c>
      <c r="AF33" s="70"/>
      <c r="AG33" s="70"/>
      <c r="AH33" s="70"/>
    </row>
    <row r="34" spans="24:34" ht="15" customHeight="1" thickBot="1">
      <c r="X34" s="569" t="s">
        <v>210</v>
      </c>
      <c r="Y34" s="576">
        <v>39.62143382975998</v>
      </c>
      <c r="Z34" s="178"/>
      <c r="AA34" s="70"/>
      <c r="AB34" s="579">
        <v>50.64932834531345</v>
      </c>
      <c r="AC34" s="580"/>
      <c r="AD34" s="580" t="s">
        <v>128</v>
      </c>
      <c r="AE34" s="581">
        <v>50.64932834531345</v>
      </c>
      <c r="AF34" s="70"/>
      <c r="AG34" s="70"/>
      <c r="AH34" s="70"/>
    </row>
    <row r="35" spans="24:34" ht="15" customHeight="1" thickBot="1"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</row>
    <row r="36" spans="24:34" ht="15" customHeight="1">
      <c r="X36" s="442" t="s">
        <v>211</v>
      </c>
      <c r="Y36" s="582">
        <v>0.70174346496484197</v>
      </c>
      <c r="Z36" s="582"/>
      <c r="AA36" s="583">
        <v>40.206938843371994</v>
      </c>
      <c r="AB36" s="70" t="s">
        <v>49</v>
      </c>
      <c r="AC36" s="70"/>
      <c r="AD36" s="70"/>
      <c r="AE36" s="70"/>
      <c r="AF36" s="70"/>
      <c r="AG36" s="70"/>
      <c r="AH36" s="70"/>
    </row>
    <row r="37" spans="24:34" ht="15" customHeight="1">
      <c r="X37" s="584" t="s">
        <v>103</v>
      </c>
      <c r="Y37" s="437">
        <v>0.35087173248242098</v>
      </c>
      <c r="Z37" s="437"/>
      <c r="AA37" s="585">
        <v>20.103469421685997</v>
      </c>
      <c r="AB37" s="70" t="s">
        <v>49</v>
      </c>
      <c r="AC37" s="70"/>
      <c r="AD37" s="70"/>
      <c r="AE37" s="70"/>
      <c r="AF37" s="70"/>
      <c r="AG37" s="70"/>
      <c r="AH37" s="70"/>
    </row>
    <row r="38" spans="24:34" ht="15" customHeight="1" thickBot="1">
      <c r="X38" s="920" t="s">
        <v>213</v>
      </c>
      <c r="Y38" s="921"/>
      <c r="Z38" s="58"/>
      <c r="AA38" s="586">
        <v>3.4972935284830454E-2</v>
      </c>
      <c r="AB38" s="70"/>
      <c r="AC38" s="70"/>
      <c r="AD38" s="70"/>
      <c r="AE38" s="70"/>
      <c r="AF38" s="439"/>
      <c r="AG38" s="70"/>
      <c r="AH38" s="70"/>
    </row>
    <row r="39" spans="24:34" ht="15" customHeight="1"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</row>
    <row r="40" spans="24:34" ht="15" customHeight="1">
      <c r="X40" s="879" t="s">
        <v>212</v>
      </c>
      <c r="Y40" s="880"/>
      <c r="Z40" s="880"/>
      <c r="AA40" s="166" t="s">
        <v>423</v>
      </c>
      <c r="AB40" s="440" t="s">
        <v>142</v>
      </c>
      <c r="AC40" s="70"/>
      <c r="AD40" s="70"/>
      <c r="AE40" s="70"/>
      <c r="AF40" s="70"/>
      <c r="AG40" s="70"/>
      <c r="AH40" s="70"/>
    </row>
    <row r="41" spans="24:34" ht="15" customHeight="1" thickBot="1"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</row>
    <row r="42" spans="24:34" ht="15" customHeight="1" thickBot="1">
      <c r="X42" s="587" t="s">
        <v>144</v>
      </c>
      <c r="Y42" s="588">
        <v>0.34046733375166754</v>
      </c>
      <c r="Z42" s="178"/>
      <c r="AA42" s="70"/>
      <c r="AB42" s="70"/>
      <c r="AC42" s="70"/>
      <c r="AD42" s="70"/>
      <c r="AE42" s="70"/>
      <c r="AF42" s="70"/>
      <c r="AG42" s="70"/>
      <c r="AH42" s="70"/>
    </row>
  </sheetData>
  <mergeCells count="19">
    <mergeCell ref="A2:S2"/>
    <mergeCell ref="A3:S3"/>
    <mergeCell ref="B24:E24"/>
    <mergeCell ref="B25:E25"/>
    <mergeCell ref="X38:Y38"/>
    <mergeCell ref="N4:P5"/>
    <mergeCell ref="Q4:R5"/>
    <mergeCell ref="B5:F5"/>
    <mergeCell ref="H5:L5"/>
    <mergeCell ref="A4:A5"/>
    <mergeCell ref="B4:L4"/>
    <mergeCell ref="B18:G18"/>
    <mergeCell ref="H18:M18"/>
    <mergeCell ref="N6:P6"/>
    <mergeCell ref="Q6:R6"/>
    <mergeCell ref="B12:G12"/>
    <mergeCell ref="H12:M12"/>
    <mergeCell ref="X40:Z40"/>
    <mergeCell ref="B28:E28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9"/>
  <sheetViews>
    <sheetView workbookViewId="0">
      <selection activeCell="O6" sqref="O6"/>
    </sheetView>
  </sheetViews>
  <sheetFormatPr defaultRowHeight="15"/>
  <cols>
    <col min="9" max="9" width="7.85546875" customWidth="1"/>
    <col min="10" max="10" width="7.42578125" customWidth="1"/>
  </cols>
  <sheetData>
    <row r="1" spans="1:16">
      <c r="B1" s="3"/>
      <c r="C1" s="3"/>
      <c r="D1" s="3" t="s">
        <v>411</v>
      </c>
      <c r="G1" s="3"/>
      <c r="H1" s="50">
        <v>70</v>
      </c>
      <c r="I1" s="3"/>
      <c r="J1" s="3"/>
      <c r="K1" s="3"/>
      <c r="L1" s="3"/>
      <c r="M1" s="3"/>
      <c r="N1" s="3"/>
    </row>
    <row r="2" spans="1:16">
      <c r="A2" s="3" t="s">
        <v>412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ht="15.75" thickBot="1">
      <c r="A3" s="3"/>
    </row>
    <row r="4" spans="1:16" ht="18">
      <c r="B4" s="447"/>
      <c r="C4" s="452" t="s">
        <v>375</v>
      </c>
      <c r="D4" s="239" t="s">
        <v>376</v>
      </c>
      <c r="E4" s="401" t="s">
        <v>104</v>
      </c>
      <c r="M4" s="442" t="s">
        <v>129</v>
      </c>
      <c r="N4" s="443" t="s">
        <v>372</v>
      </c>
      <c r="O4" s="409" t="s">
        <v>373</v>
      </c>
      <c r="P4" s="444" t="s">
        <v>374</v>
      </c>
    </row>
    <row r="5" spans="1:16">
      <c r="B5" s="448" t="s">
        <v>245</v>
      </c>
      <c r="C5" s="436">
        <v>130.07966182442905</v>
      </c>
      <c r="D5" s="441">
        <v>8.725276060365692</v>
      </c>
      <c r="E5" s="446">
        <v>2.4812358825523457</v>
      </c>
      <c r="M5" s="445" t="s">
        <v>130</v>
      </c>
      <c r="N5" s="384">
        <v>292.2836653980151</v>
      </c>
      <c r="O5" s="436">
        <v>-2.5178155413701262</v>
      </c>
      <c r="P5" s="446">
        <v>1.1241392506804131</v>
      </c>
    </row>
    <row r="6" spans="1:16">
      <c r="B6" s="448" t="s">
        <v>246</v>
      </c>
      <c r="C6" s="436">
        <v>205.02288184778837</v>
      </c>
      <c r="D6" s="441">
        <v>35.922695082545999</v>
      </c>
      <c r="E6" s="446">
        <v>1.8060020805174959</v>
      </c>
      <c r="M6" s="242" t="s">
        <v>131</v>
      </c>
      <c r="N6" s="384">
        <v>1.6101102496612736</v>
      </c>
      <c r="O6" s="436">
        <v>-33.083787203971774</v>
      </c>
      <c r="P6" s="446">
        <v>-24.596260826937463</v>
      </c>
    </row>
    <row r="7" spans="1:16">
      <c r="B7" s="448" t="s">
        <v>247</v>
      </c>
      <c r="C7" s="436">
        <v>295.9298625146447</v>
      </c>
      <c r="D7" s="441">
        <v>3.0879360722591924</v>
      </c>
      <c r="E7" s="446">
        <v>7.6535884050524068</v>
      </c>
      <c r="M7" s="242" t="s">
        <v>132</v>
      </c>
      <c r="N7" s="384">
        <v>22.696395869413561</v>
      </c>
      <c r="O7" s="436">
        <v>0.87861592693338908</v>
      </c>
      <c r="P7" s="446">
        <v>3.9821402056398156</v>
      </c>
    </row>
    <row r="8" spans="1:16" ht="15.75" thickBot="1">
      <c r="B8" s="449" t="s">
        <v>248</v>
      </c>
      <c r="C8" s="159">
        <v>20.971624213860338</v>
      </c>
      <c r="D8" s="453">
        <v>2.9134211301425652</v>
      </c>
      <c r="E8" s="247">
        <v>2.2456445465306638</v>
      </c>
      <c r="M8" s="242" t="s">
        <v>133</v>
      </c>
      <c r="N8" s="384">
        <v>110.8991919147422</v>
      </c>
      <c r="O8" s="436">
        <v>1.6133264455771077</v>
      </c>
      <c r="P8" s="446">
        <v>-7.7258939972950369</v>
      </c>
    </row>
    <row r="9" spans="1:16">
      <c r="M9" s="242" t="s">
        <v>134</v>
      </c>
      <c r="N9" s="384">
        <v>0.52237544254301271</v>
      </c>
      <c r="O9" s="436">
        <v>22.594006678293141</v>
      </c>
      <c r="P9" s="446">
        <v>-52.672235278072186</v>
      </c>
    </row>
    <row r="10" spans="1:16" ht="15.75" thickBot="1">
      <c r="M10" s="243" t="s">
        <v>135</v>
      </c>
      <c r="N10" s="451">
        <v>8.9292539551996057</v>
      </c>
      <c r="O10" s="159">
        <v>4.7767119112015628</v>
      </c>
      <c r="P10" s="247">
        <v>-6.1877985301137883</v>
      </c>
    </row>
    <row r="11" spans="1:16" ht="15.75" thickBot="1"/>
    <row r="12" spans="1:16">
      <c r="B12" s="454"/>
      <c r="C12" s="457"/>
      <c r="D12" s="457"/>
      <c r="E12" s="457"/>
      <c r="F12" s="25"/>
      <c r="G12" s="458"/>
      <c r="H12" s="459"/>
      <c r="I12" s="459"/>
      <c r="J12" s="25"/>
    </row>
    <row r="13" spans="1:16">
      <c r="B13" s="455"/>
      <c r="C13" s="10"/>
      <c r="D13" s="10"/>
      <c r="E13" s="10"/>
      <c r="F13" s="52"/>
      <c r="G13" s="460"/>
      <c r="H13" s="329"/>
      <c r="I13" s="329"/>
      <c r="J13" s="52"/>
    </row>
    <row r="14" spans="1:16">
      <c r="B14" s="455"/>
      <c r="C14" s="10"/>
      <c r="D14" s="10"/>
      <c r="E14" s="10"/>
      <c r="F14" s="52"/>
      <c r="G14" s="460"/>
      <c r="H14" s="329"/>
      <c r="I14" s="329"/>
      <c r="J14" s="52"/>
    </row>
    <row r="15" spans="1:16">
      <c r="B15" s="455"/>
      <c r="C15" s="10"/>
      <c r="D15" s="10"/>
      <c r="E15" s="10"/>
      <c r="F15" s="52"/>
      <c r="G15" s="460"/>
      <c r="H15" s="329"/>
      <c r="I15" s="329"/>
      <c r="J15" s="52"/>
    </row>
    <row r="16" spans="1:16">
      <c r="B16" s="455"/>
      <c r="C16" s="10"/>
      <c r="D16" s="10"/>
      <c r="E16" s="329"/>
      <c r="F16" s="461"/>
      <c r="G16" s="460"/>
      <c r="H16" s="329"/>
      <c r="I16" s="329"/>
      <c r="J16" s="462"/>
    </row>
    <row r="17" spans="2:14" ht="15.75" thickBot="1">
      <c r="B17" s="456"/>
      <c r="C17" s="41"/>
      <c r="D17" s="41"/>
      <c r="E17" s="41"/>
      <c r="F17" s="26"/>
      <c r="G17" s="463"/>
      <c r="H17" s="464"/>
      <c r="I17" s="464"/>
      <c r="J17" s="465"/>
    </row>
    <row r="19" spans="2:14">
      <c r="N19" s="3"/>
    </row>
  </sheetData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P57"/>
  <sheetViews>
    <sheetView workbookViewId="0">
      <selection activeCell="F19" sqref="F19"/>
    </sheetView>
  </sheetViews>
  <sheetFormatPr defaultRowHeight="15"/>
  <cols>
    <col min="1" max="1" width="2.85546875" customWidth="1"/>
    <col min="9" max="9" width="3.5703125" bestFit="1" customWidth="1"/>
    <col min="10" max="10" width="4" bestFit="1" customWidth="1"/>
    <col min="11" max="11" width="1.7109375" bestFit="1" customWidth="1"/>
    <col min="12" max="12" width="4.5703125" bestFit="1" customWidth="1"/>
    <col min="13" max="13" width="2.28515625" bestFit="1" customWidth="1"/>
    <col min="14" max="14" width="3" bestFit="1" customWidth="1"/>
    <col min="15" max="16" width="0" hidden="1" customWidth="1"/>
    <col min="17" max="17" width="10" customWidth="1"/>
  </cols>
  <sheetData>
    <row r="1" spans="2:14">
      <c r="C1" s="3"/>
      <c r="D1" s="3" t="s">
        <v>217</v>
      </c>
      <c r="E1" s="3"/>
      <c r="F1" s="3"/>
      <c r="H1" s="50">
        <v>70</v>
      </c>
    </row>
    <row r="2" spans="2:14">
      <c r="B2" s="802" t="s">
        <v>407</v>
      </c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</row>
    <row r="3" spans="2:14">
      <c r="B3" s="802" t="s">
        <v>409</v>
      </c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802"/>
    </row>
    <row r="4" spans="2:14">
      <c r="B4" s="932" t="s">
        <v>410</v>
      </c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</row>
    <row r="5" spans="2:14">
      <c r="B5" s="183"/>
      <c r="C5" s="889" t="s">
        <v>149</v>
      </c>
      <c r="D5" s="890"/>
      <c r="E5" s="890"/>
      <c r="F5" s="890"/>
      <c r="G5" s="890"/>
      <c r="H5" s="891"/>
    </row>
    <row r="6" spans="2:14">
      <c r="B6" s="184"/>
      <c r="C6" s="9" t="s">
        <v>130</v>
      </c>
      <c r="D6" s="9" t="s">
        <v>131</v>
      </c>
      <c r="E6" s="9" t="s">
        <v>132</v>
      </c>
      <c r="F6" s="9" t="s">
        <v>133</v>
      </c>
      <c r="G6" s="9" t="s">
        <v>134</v>
      </c>
      <c r="H6" s="9" t="s">
        <v>135</v>
      </c>
    </row>
    <row r="7" spans="2:14">
      <c r="B7" s="111" t="s">
        <v>148</v>
      </c>
      <c r="C7" s="299">
        <v>74</v>
      </c>
      <c r="D7" s="299">
        <v>165</v>
      </c>
      <c r="E7" s="300">
        <v>109</v>
      </c>
      <c r="F7" s="300">
        <v>90</v>
      </c>
      <c r="G7" s="300">
        <v>184</v>
      </c>
      <c r="H7" s="299">
        <v>274</v>
      </c>
      <c r="I7" s="185"/>
    </row>
    <row r="8" spans="2:14" hidden="1">
      <c r="B8" s="306" t="s">
        <v>288</v>
      </c>
      <c r="C8" s="334">
        <v>74</v>
      </c>
      <c r="D8" s="334">
        <v>165</v>
      </c>
      <c r="E8" s="334">
        <v>109</v>
      </c>
      <c r="F8" s="334">
        <v>90</v>
      </c>
      <c r="G8" s="334">
        <v>176</v>
      </c>
      <c r="H8" s="334">
        <v>86</v>
      </c>
    </row>
    <row r="9" spans="2:14" hidden="1">
      <c r="B9" s="307" t="s">
        <v>289</v>
      </c>
      <c r="C9" s="335">
        <v>176</v>
      </c>
      <c r="D9" s="335">
        <v>165</v>
      </c>
      <c r="E9" s="335">
        <v>109</v>
      </c>
      <c r="F9" s="335">
        <v>90</v>
      </c>
      <c r="G9" s="335">
        <v>86</v>
      </c>
      <c r="H9" s="335">
        <v>74</v>
      </c>
    </row>
    <row r="10" spans="2:14" hidden="1">
      <c r="B10" s="307" t="s">
        <v>286</v>
      </c>
      <c r="C10" s="450" t="s">
        <v>134</v>
      </c>
      <c r="D10" s="450" t="s">
        <v>131</v>
      </c>
      <c r="E10" s="335" t="s">
        <v>132</v>
      </c>
      <c r="F10" s="335" t="s">
        <v>133</v>
      </c>
      <c r="G10" s="335" t="s">
        <v>135</v>
      </c>
      <c r="H10" s="335" t="s">
        <v>130</v>
      </c>
      <c r="L10" s="304"/>
    </row>
    <row r="11" spans="2:14" hidden="1">
      <c r="C11" s="68"/>
      <c r="D11" s="68"/>
      <c r="E11" s="68"/>
      <c r="F11" s="68"/>
      <c r="G11" s="68"/>
      <c r="H11" s="68"/>
      <c r="I11" t="s">
        <v>233</v>
      </c>
    </row>
    <row r="12" spans="2:14" hidden="1">
      <c r="B12" s="305"/>
      <c r="C12" s="336">
        <v>1</v>
      </c>
      <c r="D12" s="336">
        <v>2</v>
      </c>
      <c r="E12" s="336">
        <v>3</v>
      </c>
      <c r="F12" s="336">
        <v>4</v>
      </c>
      <c r="G12" s="336">
        <v>5</v>
      </c>
      <c r="H12" s="336">
        <v>6</v>
      </c>
    </row>
    <row r="13" spans="2:14" hidden="1">
      <c r="B13" s="305" t="s">
        <v>0</v>
      </c>
      <c r="C13" s="337">
        <v>1.6037014646820573</v>
      </c>
      <c r="D13" s="337">
        <v>2.485987969039039</v>
      </c>
      <c r="E13" s="337">
        <v>3.2995030079167114</v>
      </c>
      <c r="F13" s="337">
        <v>-4.0896894337210963</v>
      </c>
      <c r="G13" s="337">
        <v>-4.9032044725987687</v>
      </c>
      <c r="H13" s="337">
        <v>-0.81351503887767196</v>
      </c>
    </row>
    <row r="14" spans="2:14" hidden="1">
      <c r="B14" s="305" t="s">
        <v>1</v>
      </c>
      <c r="C14" s="337">
        <v>3.1285361751107867</v>
      </c>
      <c r="D14" s="337">
        <v>-3.8644136810742356</v>
      </c>
      <c r="E14" s="337">
        <v>-0.99519304810822695</v>
      </c>
      <c r="F14" s="337">
        <v>0.73587750596344903</v>
      </c>
      <c r="G14" s="337">
        <v>-2.1333431270025596</v>
      </c>
      <c r="H14" s="337">
        <v>-2.8692206329660088</v>
      </c>
    </row>
    <row r="15" spans="2:14" hidden="1">
      <c r="B15" s="305" t="s">
        <v>287</v>
      </c>
      <c r="C15" s="338">
        <v>-0.5209141598789131</v>
      </c>
      <c r="D15" s="338">
        <v>12.804229883565878</v>
      </c>
      <c r="E15" s="338">
        <v>-1.0640023555247637</v>
      </c>
      <c r="F15" s="338">
        <v>-12.283315723686965</v>
      </c>
      <c r="G15" s="338">
        <v>1.5849165154036768</v>
      </c>
      <c r="H15" s="338">
        <v>13.868232239090641</v>
      </c>
    </row>
    <row r="16" spans="2:14">
      <c r="B16" s="304"/>
      <c r="C16" s="466"/>
      <c r="D16" s="466"/>
      <c r="E16" s="466"/>
      <c r="F16" s="466"/>
      <c r="G16" s="466"/>
      <c r="H16" s="466"/>
    </row>
    <row r="17" spans="2:16">
      <c r="C17" s="9" t="s">
        <v>134</v>
      </c>
      <c r="D17" s="11"/>
      <c r="E17" s="11"/>
      <c r="F17" s="9" t="s">
        <v>131</v>
      </c>
    </row>
    <row r="18" spans="2:16">
      <c r="B18" s="9" t="s">
        <v>123</v>
      </c>
      <c r="C18" s="302">
        <v>-4.9032044725987687</v>
      </c>
      <c r="D18" s="13"/>
      <c r="E18" s="303" t="s">
        <v>150</v>
      </c>
      <c r="F18" s="302">
        <v>2.485987969039039</v>
      </c>
    </row>
    <row r="19" spans="2:16">
      <c r="B19" s="9" t="s">
        <v>109</v>
      </c>
      <c r="C19" s="302">
        <v>-2.1333431270025596</v>
      </c>
      <c r="D19" s="13"/>
      <c r="E19" s="303" t="s">
        <v>110</v>
      </c>
      <c r="F19" s="302">
        <v>-3.8644136810742356</v>
      </c>
    </row>
    <row r="20" spans="2:16">
      <c r="B20" s="9" t="s">
        <v>126</v>
      </c>
      <c r="C20" s="302">
        <v>1.5849165154036768</v>
      </c>
      <c r="D20" s="13"/>
      <c r="E20" s="303" t="s">
        <v>125</v>
      </c>
      <c r="F20" s="302">
        <v>12.804229883565878</v>
      </c>
    </row>
    <row r="21" spans="2:16">
      <c r="B21" s="11"/>
      <c r="D21" s="11"/>
      <c r="F21" s="11"/>
    </row>
    <row r="22" spans="2:16">
      <c r="B22" s="111" t="s">
        <v>60</v>
      </c>
      <c r="C22" s="182">
        <v>24.251475792575551</v>
      </c>
      <c r="D22" s="1"/>
      <c r="E22" s="110" t="s">
        <v>93</v>
      </c>
      <c r="F22" s="182">
        <v>0.87380425564315933</v>
      </c>
      <c r="I22" s="111" t="s">
        <v>94</v>
      </c>
      <c r="J22" s="72">
        <v>44</v>
      </c>
      <c r="K22" s="73" t="s">
        <v>49</v>
      </c>
      <c r="L22" s="74">
        <v>46.129840515459222</v>
      </c>
      <c r="M22" s="75" t="s">
        <v>50</v>
      </c>
      <c r="N22" s="76" t="s">
        <v>421</v>
      </c>
      <c r="O22" s="1">
        <v>0.78136349755108236</v>
      </c>
      <c r="P22" s="1">
        <v>2.5417935464852284E-4</v>
      </c>
    </row>
    <row r="23" spans="2:16" hidden="1">
      <c r="B23" s="11"/>
      <c r="C23" s="1"/>
      <c r="D23" s="1"/>
      <c r="E23" s="28"/>
      <c r="F23" s="1"/>
      <c r="I23" s="11"/>
      <c r="L23" s="8"/>
    </row>
    <row r="24" spans="2:16">
      <c r="B24" s="9" t="s">
        <v>250</v>
      </c>
      <c r="C24" s="182">
        <v>-2.751248674232615</v>
      </c>
      <c r="D24" s="1"/>
      <c r="E24" s="110" t="s">
        <v>71</v>
      </c>
      <c r="F24" s="182">
        <v>-3.8747609829739118</v>
      </c>
      <c r="G24" s="1"/>
      <c r="I24" s="111" t="s">
        <v>72</v>
      </c>
      <c r="J24" s="72">
        <v>176</v>
      </c>
      <c r="K24" s="73" t="s">
        <v>49</v>
      </c>
      <c r="L24" s="74">
        <v>36.185277866825913</v>
      </c>
      <c r="M24" s="75" t="s">
        <v>50</v>
      </c>
      <c r="N24" s="76" t="s">
        <v>61</v>
      </c>
      <c r="O24" s="1">
        <v>3.0823053541687724</v>
      </c>
      <c r="P24" s="1">
        <v>-1.1271222813451116E-3</v>
      </c>
    </row>
    <row r="26" spans="2:16">
      <c r="B26" s="3" t="s">
        <v>416</v>
      </c>
    </row>
    <row r="27" spans="2:16">
      <c r="B27" s="3" t="s">
        <v>371</v>
      </c>
    </row>
    <row r="28" spans="2:16">
      <c r="B28" s="9" t="s">
        <v>255</v>
      </c>
      <c r="C28" s="9" t="s">
        <v>91</v>
      </c>
      <c r="D28" s="9" t="s">
        <v>92</v>
      </c>
      <c r="E28" s="9" t="s">
        <v>113</v>
      </c>
      <c r="F28" s="9" t="s">
        <v>114</v>
      </c>
      <c r="G28" s="9" t="s">
        <v>151</v>
      </c>
    </row>
    <row r="29" spans="2:16">
      <c r="B29" s="9" t="s">
        <v>146</v>
      </c>
      <c r="C29" s="435">
        <v>1.7087510466381928</v>
      </c>
      <c r="D29" s="435">
        <v>-1.4197851284725937</v>
      </c>
      <c r="E29" s="435">
        <v>-2.1556626344360428</v>
      </c>
      <c r="F29" s="435">
        <v>0.71355799852996582</v>
      </c>
      <c r="G29" s="10">
        <v>-0.28828467943511948</v>
      </c>
    </row>
    <row r="30" spans="2:16">
      <c r="B30" s="9" t="s">
        <v>147</v>
      </c>
      <c r="C30" s="435">
        <v>-1.4378656447671974</v>
      </c>
      <c r="D30" s="435">
        <v>-3.0415671094492547</v>
      </c>
      <c r="E30" s="435">
        <v>1.0481223242718418</v>
      </c>
      <c r="F30" s="435">
        <v>1.8616373631495138</v>
      </c>
      <c r="G30" s="10">
        <v>-0.39241826669877417</v>
      </c>
    </row>
    <row r="31" spans="2:16">
      <c r="B31" s="193" t="s">
        <v>249</v>
      </c>
      <c r="C31" s="435">
        <v>5.5411545879642574</v>
      </c>
      <c r="D31" s="435">
        <v>6.0620687478431705</v>
      </c>
      <c r="E31" s="435">
        <v>18.345384471530135</v>
      </c>
      <c r="F31" s="435">
        <v>4.4771522324394937</v>
      </c>
      <c r="G31" s="10">
        <v>8.6064400099442651</v>
      </c>
    </row>
    <row r="32" spans="2:16">
      <c r="B32" s="11"/>
      <c r="C32" s="11"/>
      <c r="D32" s="11"/>
      <c r="E32" s="11"/>
      <c r="F32" s="11"/>
      <c r="G32" s="11"/>
    </row>
    <row r="33" spans="2:16">
      <c r="B33" s="9" t="s">
        <v>145</v>
      </c>
      <c r="C33" s="9" t="s">
        <v>91</v>
      </c>
      <c r="D33" s="9" t="s">
        <v>92</v>
      </c>
      <c r="E33" s="9" t="s">
        <v>113</v>
      </c>
      <c r="F33" s="9" t="s">
        <v>114</v>
      </c>
      <c r="G33" s="111" t="s">
        <v>6</v>
      </c>
    </row>
    <row r="34" spans="2:16" ht="18">
      <c r="B34" s="9" t="s">
        <v>379</v>
      </c>
      <c r="C34" s="435">
        <v>1.9970357260733123</v>
      </c>
      <c r="D34" s="435">
        <v>-1.1315004490374743</v>
      </c>
      <c r="E34" s="435">
        <v>-1.8673779550009233</v>
      </c>
      <c r="F34" s="435">
        <v>1.0018426779650853</v>
      </c>
      <c r="G34" s="10">
        <v>0</v>
      </c>
      <c r="H34" s="1"/>
    </row>
    <row r="35" spans="2:16" ht="18">
      <c r="B35" s="9" t="s">
        <v>380</v>
      </c>
      <c r="C35" s="435">
        <v>-1.0454473780684232</v>
      </c>
      <c r="D35" s="435">
        <v>-2.6491488427504803</v>
      </c>
      <c r="E35" s="435">
        <v>1.4405405909706159</v>
      </c>
      <c r="F35" s="435">
        <v>2.2540556298482879</v>
      </c>
      <c r="G35" s="10">
        <v>0</v>
      </c>
      <c r="H35" s="1"/>
    </row>
    <row r="36" spans="2:16">
      <c r="B36" s="193" t="s">
        <v>251</v>
      </c>
      <c r="C36" s="435">
        <v>-3.0652854219800076</v>
      </c>
      <c r="D36" s="435">
        <v>-2.5443712621010945</v>
      </c>
      <c r="E36" s="435">
        <v>9.73894446158587</v>
      </c>
      <c r="F36" s="435">
        <v>-4.1292877775047714</v>
      </c>
      <c r="G36" s="10">
        <v>0</v>
      </c>
      <c r="H36" s="1"/>
    </row>
    <row r="37" spans="2:16" ht="18.75">
      <c r="B37" s="193" t="s">
        <v>252</v>
      </c>
      <c r="C37" s="10">
        <v>9.5363796452040841</v>
      </c>
      <c r="D37" s="10">
        <v>252.10510017163466</v>
      </c>
      <c r="E37" s="10">
        <v>6.4079527556832563</v>
      </c>
      <c r="F37" s="10">
        <v>14.802413301318502</v>
      </c>
      <c r="G37" s="10">
        <v>282.85184587384049</v>
      </c>
      <c r="H37" s="1"/>
    </row>
    <row r="38" spans="2:16" ht="18.75">
      <c r="B38" s="193" t="s">
        <v>377</v>
      </c>
      <c r="C38" s="10">
        <v>34.797724476449147</v>
      </c>
      <c r="D38" s="10">
        <v>45.991584616933871</v>
      </c>
      <c r="E38" s="10">
        <v>10.767943195578496</v>
      </c>
      <c r="F38" s="10">
        <v>2.9241680163926</v>
      </c>
      <c r="G38" s="10">
        <v>94.481420305354121</v>
      </c>
      <c r="H38" s="1"/>
    </row>
    <row r="39" spans="2:16" ht="18">
      <c r="B39" s="193" t="s">
        <v>378</v>
      </c>
      <c r="C39" s="10">
        <v>-18.216594396226466</v>
      </c>
      <c r="D39" s="10">
        <v>107.67874928185378</v>
      </c>
      <c r="E39" s="10">
        <v>-8.3066522301796173</v>
      </c>
      <c r="F39" s="10">
        <v>6.5791141912220947</v>
      </c>
      <c r="G39" s="10">
        <v>87.73461684666978</v>
      </c>
      <c r="H39" s="1"/>
    </row>
    <row r="40" spans="2:16" ht="18">
      <c r="B40" s="193" t="s">
        <v>381</v>
      </c>
      <c r="C40" s="10">
        <v>27.960972611476357</v>
      </c>
      <c r="D40" s="10">
        <v>242.13398717145699</v>
      </c>
      <c r="E40" s="10">
        <v>43.321719909340842</v>
      </c>
      <c r="F40" s="10">
        <v>-27.117087756535334</v>
      </c>
      <c r="G40" s="10">
        <v>286.29959193573887</v>
      </c>
      <c r="H40" s="1"/>
    </row>
    <row r="41" spans="2:16" ht="18">
      <c r="B41" s="193" t="s">
        <v>382</v>
      </c>
      <c r="C41" s="10">
        <v>-53.411642146967139</v>
      </c>
      <c r="D41" s="10">
        <v>103.41990257039814</v>
      </c>
      <c r="E41" s="10">
        <v>-56.158101506129547</v>
      </c>
      <c r="F41" s="10">
        <v>-12.05252233213521</v>
      </c>
      <c r="G41" s="10">
        <v>-18.202363414833762</v>
      </c>
      <c r="H41" s="1"/>
    </row>
    <row r="42" spans="2:16" ht="18.75">
      <c r="B42" s="193" t="s">
        <v>383</v>
      </c>
      <c r="C42" s="10">
        <v>81.982473272539252</v>
      </c>
      <c r="D42" s="10">
        <v>232.55724578214569</v>
      </c>
      <c r="E42" s="10">
        <v>292.88159377249741</v>
      </c>
      <c r="F42" s="10">
        <v>49.676794819000186</v>
      </c>
      <c r="G42" s="10">
        <v>657.0981076461826</v>
      </c>
      <c r="H42" s="1"/>
    </row>
    <row r="43" spans="2:16">
      <c r="C43" s="1"/>
      <c r="D43" s="1"/>
      <c r="E43" s="1"/>
      <c r="F43" s="1"/>
      <c r="G43" s="1"/>
      <c r="H43" s="1"/>
    </row>
    <row r="44" spans="2:16">
      <c r="B44" s="9" t="s">
        <v>123</v>
      </c>
      <c r="C44" s="280">
        <v>282.85184587384049</v>
      </c>
      <c r="D44" s="10" t="s">
        <v>109</v>
      </c>
      <c r="E44" s="182">
        <v>87.73461684666978</v>
      </c>
      <c r="F44" s="33" t="s">
        <v>126</v>
      </c>
      <c r="G44" s="182">
        <v>286.29959193573887</v>
      </c>
      <c r="H44" s="1"/>
    </row>
    <row r="45" spans="2:16">
      <c r="B45" s="193" t="s">
        <v>150</v>
      </c>
      <c r="C45" s="280">
        <v>87.73461684666978</v>
      </c>
      <c r="D45" s="10" t="s">
        <v>110</v>
      </c>
      <c r="E45" s="182">
        <v>94.481420305354121</v>
      </c>
      <c r="F45" s="33" t="s">
        <v>125</v>
      </c>
      <c r="G45" s="182">
        <v>-18.202363414833762</v>
      </c>
      <c r="H45" s="1"/>
    </row>
    <row r="46" spans="2:16">
      <c r="B46" s="11"/>
      <c r="C46" s="1"/>
      <c r="D46" s="1"/>
      <c r="E46" s="1"/>
      <c r="F46" s="1"/>
      <c r="G46" s="1"/>
      <c r="H46" s="1"/>
    </row>
    <row r="47" spans="2:16">
      <c r="B47" s="111" t="s">
        <v>60</v>
      </c>
      <c r="C47" s="182">
        <v>19026.881140919613</v>
      </c>
      <c r="D47" s="1"/>
      <c r="E47" s="110" t="s">
        <v>93</v>
      </c>
      <c r="F47" s="182">
        <v>1.5056051092486946</v>
      </c>
      <c r="G47" s="1"/>
      <c r="H47" s="1"/>
      <c r="I47" s="111" t="s">
        <v>94</v>
      </c>
      <c r="J47" s="72">
        <v>44</v>
      </c>
      <c r="K47" s="73" t="s">
        <v>49</v>
      </c>
      <c r="L47" s="74">
        <v>46.76164136906479</v>
      </c>
      <c r="M47" s="75" t="s">
        <v>50</v>
      </c>
      <c r="N47" s="76" t="s">
        <v>421</v>
      </c>
      <c r="O47" s="1">
        <v>0.78154728096962112</v>
      </c>
      <c r="P47" s="1">
        <v>4.3796277318731085E-4</v>
      </c>
    </row>
    <row r="48" spans="2:16">
      <c r="B48" s="9" t="s">
        <v>250</v>
      </c>
      <c r="C48" s="182">
        <v>-1.5907471576042693</v>
      </c>
      <c r="D48" s="1"/>
      <c r="E48" s="110" t="s">
        <v>71</v>
      </c>
      <c r="F48" s="182">
        <v>-2.240556027887636</v>
      </c>
      <c r="G48" s="1"/>
      <c r="H48" s="1"/>
      <c r="I48" s="111" t="s">
        <v>72</v>
      </c>
      <c r="J48" s="72">
        <v>176</v>
      </c>
      <c r="K48" s="73" t="s">
        <v>49</v>
      </c>
      <c r="L48" s="74">
        <v>37.81948282191081</v>
      </c>
      <c r="M48" s="75" t="s">
        <v>50</v>
      </c>
      <c r="N48" s="76" t="s">
        <v>61</v>
      </c>
      <c r="O48" s="1">
        <v>3.0827807251207497</v>
      </c>
      <c r="P48" s="1">
        <v>-6.5175132936741897E-4</v>
      </c>
    </row>
    <row r="49" spans="2:8">
      <c r="C49" s="1"/>
      <c r="D49" s="1"/>
      <c r="E49" s="1"/>
      <c r="F49" s="1"/>
      <c r="G49" s="1"/>
      <c r="H49" s="1"/>
    </row>
    <row r="50" spans="2:8">
      <c r="B50" s="10" t="s">
        <v>253</v>
      </c>
      <c r="C50" s="182">
        <v>0.93151158502608844</v>
      </c>
      <c r="D50" s="1"/>
      <c r="E50" s="10" t="s">
        <v>3</v>
      </c>
      <c r="F50" s="333">
        <v>0.12915429789987232</v>
      </c>
      <c r="G50" s="1"/>
      <c r="H50" s="1"/>
    </row>
    <row r="51" spans="2:8" ht="16.5">
      <c r="B51" s="10" t="s">
        <v>207</v>
      </c>
      <c r="C51" s="182">
        <v>377.3332661791946</v>
      </c>
      <c r="D51" s="1"/>
      <c r="E51" s="10" t="s">
        <v>4</v>
      </c>
      <c r="F51" s="333">
        <v>5.6131588730833695E-2</v>
      </c>
      <c r="G51" s="1"/>
      <c r="H51" s="1"/>
    </row>
    <row r="52" spans="2:8" ht="18">
      <c r="B52" s="10" t="s">
        <v>208</v>
      </c>
      <c r="C52" s="182">
        <v>257.43517475624901</v>
      </c>
      <c r="D52" s="1"/>
      <c r="E52" s="10" t="s">
        <v>144</v>
      </c>
      <c r="F52" s="182">
        <v>0.14082467084803152</v>
      </c>
      <c r="G52" s="1"/>
      <c r="H52" s="1"/>
    </row>
    <row r="53" spans="2:8" ht="18">
      <c r="B53" s="10" t="s">
        <v>209</v>
      </c>
      <c r="C53" s="182">
        <v>59.949045711472792</v>
      </c>
      <c r="D53" s="1"/>
      <c r="E53" s="1"/>
      <c r="F53" s="1"/>
      <c r="G53" s="1"/>
      <c r="H53" s="1"/>
    </row>
    <row r="54" spans="2:8" ht="18">
      <c r="B54" s="10" t="s">
        <v>210</v>
      </c>
      <c r="C54" s="182">
        <v>317.38422046772178</v>
      </c>
      <c r="D54" s="1"/>
      <c r="E54" s="64" t="s">
        <v>254</v>
      </c>
      <c r="F54" s="281"/>
      <c r="G54" s="182">
        <v>3.8844730559716403E-3</v>
      </c>
      <c r="H54" s="1"/>
    </row>
    <row r="55" spans="2:8">
      <c r="C55" s="11" t="s">
        <v>21</v>
      </c>
      <c r="D55" s="11" t="s">
        <v>19</v>
      </c>
    </row>
    <row r="56" spans="2:8">
      <c r="B56" s="9" t="s">
        <v>211</v>
      </c>
      <c r="C56" s="182">
        <v>0.7499545587103621</v>
      </c>
      <c r="D56" s="182">
        <v>42.96923104069986</v>
      </c>
      <c r="E56" s="1"/>
      <c r="F56" s="1"/>
      <c r="G56" s="1"/>
      <c r="H56" s="1"/>
    </row>
    <row r="57" spans="2:8">
      <c r="B57" s="111" t="s">
        <v>103</v>
      </c>
      <c r="C57" s="182">
        <v>0.37497727935518105</v>
      </c>
      <c r="D57" s="182">
        <v>21.48461552034993</v>
      </c>
      <c r="E57" s="64" t="s">
        <v>143</v>
      </c>
      <c r="F57" s="181"/>
      <c r="G57" s="181" t="s">
        <v>423</v>
      </c>
      <c r="H57" s="124" t="s">
        <v>142</v>
      </c>
    </row>
  </sheetData>
  <mergeCells count="4">
    <mergeCell ref="C5:H5"/>
    <mergeCell ref="B3:N3"/>
    <mergeCell ref="B2:N2"/>
    <mergeCell ref="B4:N4"/>
  </mergeCells>
  <phoneticPr fontId="51" type="noConversion"/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6"/>
  <sheetViews>
    <sheetView topLeftCell="A12" workbookViewId="0">
      <selection activeCell="I19" sqref="I19"/>
    </sheetView>
  </sheetViews>
  <sheetFormatPr defaultRowHeight="15"/>
  <cols>
    <col min="2" max="2" width="11" bestFit="1" customWidth="1"/>
    <col min="3" max="3" width="10.28515625" bestFit="1" customWidth="1"/>
    <col min="6" max="6" width="8.28515625" bestFit="1" customWidth="1"/>
    <col min="7" max="7" width="11" bestFit="1" customWidth="1"/>
    <col min="8" max="8" width="9.42578125" bestFit="1" customWidth="1"/>
    <col min="10" max="10" width="7.5703125" bestFit="1" customWidth="1"/>
    <col min="11" max="11" width="4" bestFit="1" customWidth="1"/>
    <col min="12" max="12" width="2.28515625" bestFit="1" customWidth="1"/>
    <col min="13" max="13" width="4.5703125" style="8" bestFit="1" customWidth="1"/>
    <col min="14" max="14" width="2.7109375" customWidth="1"/>
    <col min="15" max="15" width="2.42578125" customWidth="1"/>
    <col min="16" max="16" width="12.7109375" hidden="1" customWidth="1"/>
    <col min="17" max="17" width="3.140625" customWidth="1"/>
    <col min="18" max="18" width="4" bestFit="1" customWidth="1"/>
    <col min="19" max="19" width="2.28515625" bestFit="1" customWidth="1"/>
    <col min="20" max="20" width="4.5703125" style="8" bestFit="1" customWidth="1"/>
    <col min="21" max="21" width="2.7109375" bestFit="1" customWidth="1"/>
    <col min="22" max="22" width="2.28515625" customWidth="1"/>
    <col min="23" max="23" width="12.7109375" hidden="1" customWidth="1"/>
  </cols>
  <sheetData>
    <row r="1" spans="1:23">
      <c r="B1" s="3"/>
      <c r="C1" s="3"/>
      <c r="D1" s="3"/>
      <c r="F1" s="50" t="s">
        <v>217</v>
      </c>
      <c r="J1" s="50">
        <v>70</v>
      </c>
    </row>
    <row r="2" spans="1:23">
      <c r="B2" s="88"/>
      <c r="C2" s="88"/>
      <c r="D2" s="88"/>
      <c r="E2" s="101" t="s">
        <v>218</v>
      </c>
    </row>
    <row r="3" spans="1:23">
      <c r="A3" s="101" t="s">
        <v>220</v>
      </c>
      <c r="B3" s="88"/>
      <c r="C3" s="88"/>
      <c r="D3" s="88"/>
      <c r="E3" s="50"/>
    </row>
    <row r="4" spans="1:23">
      <c r="A4" s="101"/>
      <c r="B4" s="88"/>
      <c r="C4" s="88"/>
      <c r="D4" s="88"/>
      <c r="E4" s="50"/>
    </row>
    <row r="5" spans="1:23" ht="15.75" thickBot="1">
      <c r="A5" s="50"/>
      <c r="B5" s="11"/>
      <c r="F5" s="2"/>
      <c r="G5" s="9" t="s">
        <v>395</v>
      </c>
      <c r="H5" s="9" t="s">
        <v>397</v>
      </c>
      <c r="I5" s="9" t="s">
        <v>396</v>
      </c>
      <c r="J5" s="9" t="s">
        <v>398</v>
      </c>
      <c r="K5" s="936" t="s">
        <v>391</v>
      </c>
      <c r="L5" s="936"/>
      <c r="M5" s="936"/>
      <c r="N5" s="936"/>
      <c r="O5" s="937"/>
      <c r="R5" s="938" t="s">
        <v>392</v>
      </c>
      <c r="S5" s="936"/>
      <c r="T5" s="936"/>
      <c r="U5" s="936"/>
      <c r="V5" s="937"/>
    </row>
    <row r="6" spans="1:23">
      <c r="F6" s="600" t="s">
        <v>389</v>
      </c>
      <c r="G6" s="589">
        <v>460.92524569916458</v>
      </c>
      <c r="H6" s="601">
        <v>0.13407759310571291</v>
      </c>
      <c r="I6" s="590">
        <v>60.631547211509456</v>
      </c>
      <c r="J6" s="601">
        <v>1.0582201294192268</v>
      </c>
      <c r="K6" s="595">
        <v>41</v>
      </c>
      <c r="L6" s="595" t="s">
        <v>49</v>
      </c>
      <c r="M6" s="599">
        <v>34.9</v>
      </c>
      <c r="N6" s="596" t="s">
        <v>50</v>
      </c>
      <c r="O6" s="597" t="s">
        <v>6</v>
      </c>
      <c r="P6" s="79">
        <v>-0.72573699180010875</v>
      </c>
      <c r="Q6" s="11"/>
      <c r="R6" s="594">
        <v>37</v>
      </c>
      <c r="S6" s="595" t="s">
        <v>49</v>
      </c>
      <c r="T6" s="599">
        <v>29.7</v>
      </c>
      <c r="U6" s="596" t="s">
        <v>50</v>
      </c>
      <c r="V6" s="597" t="s">
        <v>6</v>
      </c>
      <c r="W6" s="79">
        <v>-0.65441120303527378</v>
      </c>
    </row>
    <row r="7" spans="1:23">
      <c r="B7" s="11"/>
      <c r="F7" s="5" t="s">
        <v>393</v>
      </c>
      <c r="G7" s="589">
        <v>4314.1747716056761</v>
      </c>
      <c r="H7" s="601">
        <v>1.2549413923658428</v>
      </c>
      <c r="I7" s="590">
        <v>7.5455011757010013E-2</v>
      </c>
      <c r="J7" s="601">
        <v>1.3169383922908562E-3</v>
      </c>
      <c r="K7" s="232">
        <v>37</v>
      </c>
      <c r="L7" s="232" t="s">
        <v>49</v>
      </c>
      <c r="M7" s="103">
        <v>29.7</v>
      </c>
      <c r="N7" s="97" t="s">
        <v>50</v>
      </c>
      <c r="O7" s="233" t="s">
        <v>6</v>
      </c>
      <c r="P7" s="57">
        <v>-0.65441120303527378</v>
      </c>
      <c r="R7" s="96">
        <v>175</v>
      </c>
      <c r="S7" s="232" t="s">
        <v>49</v>
      </c>
      <c r="T7" s="103">
        <v>8.8840543897240423</v>
      </c>
      <c r="U7" s="97" t="s">
        <v>50</v>
      </c>
      <c r="V7" s="233" t="s">
        <v>422</v>
      </c>
      <c r="W7" s="57">
        <v>-3.0569104576571924</v>
      </c>
    </row>
    <row r="8" spans="1:23">
      <c r="B8" s="11"/>
      <c r="F8" s="30" t="s">
        <v>394</v>
      </c>
      <c r="G8" s="589">
        <v>3595.9977335368449</v>
      </c>
      <c r="H8" s="601">
        <v>1.0460323564938825</v>
      </c>
      <c r="I8" s="590">
        <v>0.17525349053302675</v>
      </c>
      <c r="J8" s="601">
        <v>3.0587504354140289E-3</v>
      </c>
      <c r="K8" s="232">
        <v>31</v>
      </c>
      <c r="L8" s="232" t="s">
        <v>49</v>
      </c>
      <c r="M8" s="103">
        <v>3.6880569796776399</v>
      </c>
      <c r="N8" s="97" t="s">
        <v>50</v>
      </c>
      <c r="O8" s="233" t="s">
        <v>6</v>
      </c>
      <c r="P8" s="57">
        <v>-0.54212488040651763</v>
      </c>
      <c r="R8" s="96">
        <v>28</v>
      </c>
      <c r="S8" s="232" t="s">
        <v>49</v>
      </c>
      <c r="T8" s="103">
        <v>52.29606215970125</v>
      </c>
      <c r="U8" s="97" t="s">
        <v>50</v>
      </c>
      <c r="V8" s="233" t="s">
        <v>421</v>
      </c>
      <c r="W8" s="57">
        <v>0.50390449840031892</v>
      </c>
    </row>
    <row r="9" spans="1:23" ht="15.75" thickBot="1">
      <c r="B9" s="11"/>
      <c r="F9" s="30" t="s">
        <v>390</v>
      </c>
      <c r="G9" s="589">
        <v>3274.2153403670641</v>
      </c>
      <c r="H9" s="601">
        <v>0.95242974048929219</v>
      </c>
      <c r="I9" s="590">
        <v>179.80846410478256</v>
      </c>
      <c r="J9" s="601">
        <v>3.1382497215824938</v>
      </c>
      <c r="K9" s="232">
        <v>28</v>
      </c>
      <c r="L9" s="232" t="s">
        <v>49</v>
      </c>
      <c r="M9" s="103">
        <v>52.29606215970125</v>
      </c>
      <c r="N9" s="97" t="s">
        <v>50</v>
      </c>
      <c r="O9" s="233" t="s">
        <v>421</v>
      </c>
      <c r="P9" s="80">
        <v>0.50390449840031892</v>
      </c>
      <c r="R9" s="96">
        <v>25</v>
      </c>
      <c r="S9" s="232" t="s">
        <v>49</v>
      </c>
      <c r="T9" s="103">
        <v>41.904067339666653</v>
      </c>
      <c r="U9" s="97" t="s">
        <v>50</v>
      </c>
      <c r="V9" s="233" t="s">
        <v>6</v>
      </c>
      <c r="W9" s="94">
        <v>-0.44852171208282576</v>
      </c>
    </row>
    <row r="10" spans="1:23">
      <c r="J10" s="11"/>
      <c r="K10" s="11"/>
      <c r="L10" s="11"/>
      <c r="M10" s="29"/>
      <c r="N10" s="11"/>
      <c r="W10" s="99"/>
    </row>
    <row r="11" spans="1:23">
      <c r="B11" s="9" t="s">
        <v>399</v>
      </c>
      <c r="C11" s="902" t="s">
        <v>152</v>
      </c>
      <c r="D11" s="902"/>
      <c r="F11" s="2" t="s">
        <v>3</v>
      </c>
      <c r="G11" s="2">
        <v>6378245</v>
      </c>
      <c r="W11" s="100"/>
    </row>
    <row r="12" spans="1:23">
      <c r="B12" s="2" t="s">
        <v>153</v>
      </c>
      <c r="C12" s="902" t="s">
        <v>174</v>
      </c>
      <c r="D12" s="902"/>
      <c r="F12" s="163" t="s">
        <v>3</v>
      </c>
      <c r="G12" s="2">
        <v>3.352329869259135E-3</v>
      </c>
      <c r="J12" s="27"/>
    </row>
    <row r="13" spans="1:23">
      <c r="F13" s="666" t="s">
        <v>4</v>
      </c>
      <c r="G13">
        <v>6356863.0187730473</v>
      </c>
      <c r="J13" s="27"/>
      <c r="W13" s="100"/>
    </row>
    <row r="14" spans="1:23">
      <c r="F14" s="666" t="s">
        <v>417</v>
      </c>
      <c r="G14" s="13">
        <v>8.1813334016930653E-2</v>
      </c>
      <c r="J14" s="27"/>
      <c r="W14" s="99"/>
    </row>
    <row r="15" spans="1:23" ht="15.75" thickBot="1">
      <c r="F15" s="6"/>
      <c r="G15" s="13"/>
    </row>
    <row r="16" spans="1:23">
      <c r="A16" s="11"/>
      <c r="B16" s="81" t="s">
        <v>154</v>
      </c>
      <c r="C16" s="82">
        <v>0.38699201269371564</v>
      </c>
      <c r="D16" s="81" t="s">
        <v>155</v>
      </c>
      <c r="E16" s="25">
        <v>172.08987898860551</v>
      </c>
      <c r="F16" s="7" t="s">
        <v>156</v>
      </c>
      <c r="G16" s="82">
        <v>0.19149891869968652</v>
      </c>
      <c r="H16" s="81" t="s">
        <v>157</v>
      </c>
      <c r="I16" s="25">
        <v>1.2876483028134305E-2</v>
      </c>
    </row>
    <row r="17" spans="1:9">
      <c r="A17" s="11"/>
      <c r="B17" s="83" t="s">
        <v>154</v>
      </c>
      <c r="C17" s="84">
        <v>3.516231126095176</v>
      </c>
      <c r="D17" s="83" t="s">
        <v>155</v>
      </c>
      <c r="E17" s="52">
        <v>17.193710809226136</v>
      </c>
      <c r="F17" s="33" t="s">
        <v>156</v>
      </c>
      <c r="G17" s="84">
        <v>0.1354234172803496</v>
      </c>
      <c r="H17" s="83" t="s">
        <v>157</v>
      </c>
      <c r="I17" s="52">
        <v>0.12052149181527544</v>
      </c>
    </row>
    <row r="18" spans="1:9">
      <c r="A18" s="11"/>
      <c r="B18" s="83" t="s">
        <v>154</v>
      </c>
      <c r="C18" s="84">
        <v>2.9811092825155003</v>
      </c>
      <c r="D18" s="83" t="s">
        <v>155</v>
      </c>
      <c r="E18" s="52">
        <v>21.068653904333885</v>
      </c>
      <c r="F18" s="33" t="s">
        <v>156</v>
      </c>
      <c r="G18" s="84">
        <v>0.15419339577226365</v>
      </c>
      <c r="H18" s="83" t="s">
        <v>157</v>
      </c>
      <c r="I18" s="52">
        <v>0.10045838065315704</v>
      </c>
    </row>
    <row r="19" spans="1:9" ht="15.75" thickBot="1">
      <c r="A19" s="11"/>
      <c r="B19" s="85" t="s">
        <v>154</v>
      </c>
      <c r="C19" s="86">
        <v>2.7261781780230829</v>
      </c>
      <c r="D19" s="85" t="s">
        <v>155</v>
      </c>
      <c r="E19" s="26">
        <v>23.327954146228493</v>
      </c>
      <c r="F19" s="87" t="s">
        <v>156</v>
      </c>
      <c r="G19" s="86">
        <v>0.16111280803309175</v>
      </c>
      <c r="H19" s="85" t="s">
        <v>157</v>
      </c>
      <c r="I19" s="26">
        <v>9.1469015104047077E-2</v>
      </c>
    </row>
    <row r="20" spans="1:9" ht="15.75" thickBot="1">
      <c r="B20" s="28"/>
      <c r="C20" s="28"/>
      <c r="D20" s="28"/>
      <c r="E20" s="28"/>
      <c r="F20" s="28"/>
      <c r="G20" s="28"/>
      <c r="H20" s="28"/>
      <c r="I20" s="28"/>
    </row>
    <row r="21" spans="1:9">
      <c r="A21" s="11"/>
      <c r="B21" s="81" t="s">
        <v>158</v>
      </c>
      <c r="C21" s="25">
        <v>0.10604847016525776</v>
      </c>
      <c r="D21" s="7" t="s">
        <v>159</v>
      </c>
      <c r="E21" s="82">
        <v>0.10273075038364966</v>
      </c>
      <c r="F21" s="81" t="s">
        <v>166</v>
      </c>
      <c r="G21" s="82">
        <v>461.86616609357122</v>
      </c>
      <c r="H21" s="81" t="s">
        <v>170</v>
      </c>
      <c r="I21" s="25">
        <v>60.734277961893106</v>
      </c>
    </row>
    <row r="22" spans="1:9">
      <c r="A22" s="11"/>
      <c r="B22" s="83" t="s">
        <v>160</v>
      </c>
      <c r="C22" s="52">
        <v>-3.0329854971984695</v>
      </c>
      <c r="D22" s="33" t="s">
        <v>163</v>
      </c>
      <c r="E22" s="84">
        <v>3.7783693576970922E-4</v>
      </c>
      <c r="F22" s="83" t="s">
        <v>167</v>
      </c>
      <c r="G22" s="84">
        <v>4318.9560324026261</v>
      </c>
      <c r="H22" s="83" t="s">
        <v>171</v>
      </c>
      <c r="I22" s="52">
        <v>7.5832848692779717E-2</v>
      </c>
    </row>
    <row r="23" spans="1:9">
      <c r="A23" s="11"/>
      <c r="B23" s="83" t="s">
        <v>161</v>
      </c>
      <c r="C23" s="52">
        <v>-21.015093702683316</v>
      </c>
      <c r="D23" s="33" t="s">
        <v>164</v>
      </c>
      <c r="E23" s="84">
        <v>9.6377999968569556E-4</v>
      </c>
      <c r="F23" s="83" t="s">
        <v>168</v>
      </c>
      <c r="G23" s="84">
        <v>3581.4960551338845</v>
      </c>
      <c r="H23" s="83" t="s">
        <v>172</v>
      </c>
      <c r="I23" s="52">
        <v>0.17621727053271244</v>
      </c>
    </row>
    <row r="24" spans="1:9" ht="15.75" thickBot="1">
      <c r="A24" s="11"/>
      <c r="B24" s="85" t="s">
        <v>162</v>
      </c>
      <c r="C24" s="26">
        <v>-19.587475782165498</v>
      </c>
      <c r="D24" s="87" t="s">
        <v>165</v>
      </c>
      <c r="E24" s="86">
        <v>-1.0846183723801403E-3</v>
      </c>
      <c r="F24" s="85" t="s">
        <v>169</v>
      </c>
      <c r="G24" s="86">
        <v>3260.5584368134741</v>
      </c>
      <c r="H24" s="85" t="s">
        <v>173</v>
      </c>
      <c r="I24" s="26">
        <v>179.80737948641018</v>
      </c>
    </row>
    <row r="25" spans="1:9">
      <c r="A25" s="11"/>
      <c r="B25" s="28"/>
      <c r="C25" s="28"/>
      <c r="D25" s="28"/>
      <c r="E25" s="28"/>
      <c r="F25" s="28"/>
      <c r="G25" s="28"/>
      <c r="H25" s="28"/>
      <c r="I25" s="28"/>
    </row>
    <row r="26" spans="1:9">
      <c r="A26" s="11"/>
      <c r="B26" s="28"/>
      <c r="C26" s="28"/>
      <c r="D26" s="28"/>
      <c r="E26" s="28"/>
      <c r="F26" s="28"/>
      <c r="G26" s="28"/>
      <c r="H26" s="28"/>
      <c r="I26" s="28"/>
    </row>
    <row r="27" spans="1:9">
      <c r="A27" s="11"/>
      <c r="B27" s="28"/>
      <c r="C27" s="28"/>
      <c r="D27" s="28"/>
      <c r="E27" s="28"/>
      <c r="F27" s="28"/>
      <c r="G27" s="28"/>
      <c r="H27" s="28"/>
      <c r="I27" s="28"/>
    </row>
    <row r="28" spans="1:9">
      <c r="A28" s="11"/>
      <c r="B28" s="28"/>
      <c r="C28" s="28"/>
      <c r="D28" s="28"/>
      <c r="E28" s="28"/>
      <c r="F28" s="28"/>
      <c r="G28" s="28"/>
      <c r="H28" s="28"/>
      <c r="I28" s="28"/>
    </row>
    <row r="29" spans="1:9">
      <c r="A29" s="11"/>
      <c r="B29" s="28"/>
      <c r="C29" s="28"/>
      <c r="D29" s="28"/>
      <c r="E29" s="28"/>
      <c r="F29" s="28"/>
      <c r="G29" s="28"/>
      <c r="H29" s="28"/>
      <c r="I29" s="28"/>
    </row>
    <row r="30" spans="1:9">
      <c r="A30" s="11"/>
      <c r="B30" s="28"/>
      <c r="C30" s="28"/>
      <c r="D30" s="28"/>
      <c r="E30" s="28"/>
      <c r="F30" s="28"/>
      <c r="G30" s="28"/>
      <c r="H30" s="28"/>
      <c r="I30" s="28"/>
    </row>
    <row r="31" spans="1:9">
      <c r="A31" s="11"/>
      <c r="B31" s="28"/>
      <c r="C31" s="28"/>
      <c r="D31" s="28"/>
      <c r="E31" s="28"/>
      <c r="F31" s="28"/>
      <c r="G31" s="28"/>
      <c r="H31" s="28"/>
      <c r="I31" s="28"/>
    </row>
    <row r="32" spans="1:9">
      <c r="A32" s="11"/>
      <c r="B32" s="28"/>
      <c r="C32" s="28"/>
      <c r="D32" s="28"/>
      <c r="E32" s="28"/>
      <c r="F32" s="28"/>
      <c r="G32" s="28"/>
      <c r="H32" s="28"/>
      <c r="I32" s="28"/>
    </row>
    <row r="34" spans="1:23">
      <c r="A34" s="101" t="s">
        <v>219</v>
      </c>
    </row>
    <row r="35" spans="1:23">
      <c r="A35" s="101"/>
    </row>
    <row r="36" spans="1:23">
      <c r="A36" s="101"/>
      <c r="F36" s="939" t="s">
        <v>216</v>
      </c>
      <c r="G36" s="939"/>
      <c r="H36" s="939"/>
      <c r="I36" s="939"/>
    </row>
    <row r="37" spans="1:23">
      <c r="C37" s="889" t="s">
        <v>175</v>
      </c>
      <c r="D37" s="890"/>
      <c r="E37" s="891"/>
      <c r="F37" s="9" t="s">
        <v>154</v>
      </c>
      <c r="G37" s="9" t="s">
        <v>155</v>
      </c>
      <c r="H37" s="9" t="s">
        <v>156</v>
      </c>
      <c r="I37" s="9" t="s">
        <v>157</v>
      </c>
    </row>
    <row r="38" spans="1:23">
      <c r="C38" s="940" t="s">
        <v>315</v>
      </c>
      <c r="D38" s="941"/>
      <c r="E38" s="942"/>
      <c r="F38" s="9">
        <v>0.02</v>
      </c>
      <c r="G38" s="9">
        <v>-1.85</v>
      </c>
      <c r="H38" s="9">
        <v>0.03</v>
      </c>
      <c r="I38" s="9">
        <v>1.33</v>
      </c>
    </row>
    <row r="39" spans="1:23">
      <c r="B39" s="598"/>
      <c r="C39" s="598"/>
      <c r="D39" s="11"/>
      <c r="E39" s="11"/>
      <c r="F39" s="11"/>
      <c r="G39" s="11"/>
      <c r="H39" s="42"/>
      <c r="I39" s="11"/>
    </row>
    <row r="40" spans="1:23">
      <c r="D40" s="11"/>
      <c r="G40" s="11"/>
    </row>
    <row r="41" spans="1:23">
      <c r="D41" s="11"/>
      <c r="G41" s="11" t="s">
        <v>385</v>
      </c>
      <c r="H41" s="110" t="s">
        <v>177</v>
      </c>
      <c r="I41" s="10">
        <v>-2.2924130307270794</v>
      </c>
      <c r="K41" s="943" t="s">
        <v>94</v>
      </c>
      <c r="L41" s="944"/>
      <c r="M41" s="944"/>
      <c r="N41" s="944"/>
      <c r="O41" s="945"/>
      <c r="P41" s="12"/>
      <c r="Q41" s="12"/>
      <c r="R41" s="946" t="s">
        <v>72</v>
      </c>
      <c r="S41" s="947"/>
      <c r="T41" s="947"/>
      <c r="U41" s="947"/>
      <c r="V41" s="948"/>
      <c r="W41" s="13"/>
    </row>
    <row r="42" spans="1:23">
      <c r="D42" s="11"/>
      <c r="G42" s="11"/>
      <c r="H42" s="111" t="s">
        <v>178</v>
      </c>
      <c r="I42" s="10">
        <v>0.15150572882761115</v>
      </c>
      <c r="J42" s="11"/>
      <c r="K42" s="594">
        <v>50</v>
      </c>
      <c r="L42" s="595" t="s">
        <v>49</v>
      </c>
      <c r="M42" s="595">
        <v>56.084041277240857</v>
      </c>
      <c r="N42" s="596" t="s">
        <v>50</v>
      </c>
      <c r="O42" s="597" t="s">
        <v>421</v>
      </c>
      <c r="P42" s="12">
        <v>0.88897881229903575</v>
      </c>
      <c r="Q42" s="12"/>
      <c r="R42" s="594">
        <v>176</v>
      </c>
      <c r="S42" s="595" t="s">
        <v>49</v>
      </c>
      <c r="T42" s="595">
        <v>6.777787772832653</v>
      </c>
      <c r="U42" s="596" t="s">
        <v>50</v>
      </c>
      <c r="V42" s="597" t="s">
        <v>61</v>
      </c>
      <c r="W42" s="12">
        <v>3.0737510620539754</v>
      </c>
    </row>
    <row r="43" spans="1:23">
      <c r="D43" s="11"/>
      <c r="G43" s="11"/>
      <c r="H43" s="11"/>
      <c r="I43" s="11"/>
      <c r="J43" s="11"/>
      <c r="K43" s="147"/>
      <c r="L43" s="147"/>
      <c r="M43" s="147"/>
      <c r="N43" s="591"/>
      <c r="O43" s="147"/>
      <c r="P43" s="12"/>
      <c r="Q43" s="12"/>
      <c r="R43" s="147"/>
      <c r="S43" s="147"/>
      <c r="T43" s="147"/>
      <c r="U43" s="591"/>
      <c r="V43" s="147"/>
      <c r="W43" s="12"/>
    </row>
    <row r="44" spans="1:23">
      <c r="B44" s="286"/>
      <c r="C44" s="28"/>
      <c r="D44" s="11"/>
      <c r="E44" s="27"/>
      <c r="F44" s="28"/>
      <c r="G44" s="11"/>
      <c r="H44" s="11"/>
      <c r="I44" s="11"/>
      <c r="J44" s="11"/>
      <c r="K44" s="943" t="s">
        <v>179</v>
      </c>
      <c r="L44" s="944"/>
      <c r="M44" s="944"/>
      <c r="N44" s="944"/>
      <c r="O44" s="945"/>
      <c r="P44" s="12"/>
      <c r="Q44" s="12"/>
      <c r="R44" s="946" t="s">
        <v>180</v>
      </c>
      <c r="S44" s="947"/>
      <c r="T44" s="947"/>
      <c r="U44" s="947"/>
      <c r="V44" s="948"/>
      <c r="W44" s="12"/>
    </row>
    <row r="45" spans="1:23">
      <c r="D45" s="28"/>
      <c r="E45" s="28"/>
      <c r="F45" s="939" t="s">
        <v>216</v>
      </c>
      <c r="G45" s="939"/>
      <c r="H45" s="939"/>
      <c r="I45" s="939"/>
      <c r="J45" s="11"/>
      <c r="K45" s="592">
        <v>50</v>
      </c>
      <c r="L45" s="508" t="s">
        <v>49</v>
      </c>
      <c r="M45" s="509">
        <v>56.122248161086361</v>
      </c>
      <c r="N45" s="593" t="s">
        <v>50</v>
      </c>
      <c r="O45" s="225" t="s">
        <v>421</v>
      </c>
      <c r="P45" s="12">
        <v>0.88898992623103623</v>
      </c>
      <c r="Q45" s="12"/>
      <c r="R45" s="592">
        <v>176</v>
      </c>
      <c r="S45" s="508" t="s">
        <v>49</v>
      </c>
      <c r="T45" s="509">
        <v>6.7803128683129898</v>
      </c>
      <c r="U45" s="593" t="s">
        <v>50</v>
      </c>
      <c r="V45" s="225" t="s">
        <v>61</v>
      </c>
      <c r="W45" s="12">
        <v>3.0737517965744763</v>
      </c>
    </row>
    <row r="46" spans="1:23">
      <c r="C46" s="917" t="s">
        <v>176</v>
      </c>
      <c r="D46" s="918"/>
      <c r="E46" s="919"/>
      <c r="F46" s="9" t="s">
        <v>154</v>
      </c>
      <c r="G46" s="9" t="s">
        <v>155</v>
      </c>
      <c r="H46" s="10" t="s">
        <v>156</v>
      </c>
      <c r="I46" s="9" t="s">
        <v>157</v>
      </c>
      <c r="J46" s="11"/>
      <c r="K46" s="12"/>
      <c r="L46" s="12"/>
      <c r="M46" s="78"/>
      <c r="N46" s="475"/>
      <c r="O46" s="77"/>
      <c r="P46" s="12"/>
      <c r="Q46" s="12"/>
      <c r="R46" s="12"/>
      <c r="S46" s="12"/>
      <c r="T46" s="78"/>
      <c r="U46" s="475"/>
      <c r="V46" s="77"/>
      <c r="W46" s="12"/>
    </row>
    <row r="47" spans="1:23">
      <c r="C47" s="940" t="s">
        <v>314</v>
      </c>
      <c r="D47" s="941"/>
      <c r="E47" s="942"/>
      <c r="F47" s="9">
        <v>11.35</v>
      </c>
      <c r="G47" s="9">
        <v>-5.38</v>
      </c>
      <c r="H47" s="9">
        <v>-0.49</v>
      </c>
      <c r="I47" s="9">
        <v>-6.62</v>
      </c>
      <c r="J47" s="11"/>
      <c r="K47" s="12"/>
      <c r="L47" s="12"/>
      <c r="M47" s="78"/>
      <c r="N47" s="475"/>
      <c r="O47" s="77"/>
      <c r="P47" s="12"/>
      <c r="Q47" s="12"/>
      <c r="R47" s="12"/>
      <c r="S47" s="12"/>
      <c r="T47" s="78"/>
      <c r="U47" s="475"/>
      <c r="V47" s="77"/>
    </row>
    <row r="48" spans="1:23">
      <c r="B48" s="598"/>
      <c r="C48" s="598"/>
      <c r="D48" s="11"/>
      <c r="E48" s="11"/>
      <c r="F48" s="11"/>
      <c r="G48" s="11"/>
      <c r="H48" s="42"/>
      <c r="I48" s="11"/>
      <c r="J48" s="11"/>
      <c r="K48" s="12"/>
      <c r="L48" s="12"/>
      <c r="M48" s="78"/>
      <c r="N48" s="475"/>
      <c r="O48" s="77"/>
      <c r="P48" s="12"/>
      <c r="Q48" s="12"/>
      <c r="R48" s="12"/>
      <c r="S48" s="12"/>
      <c r="T48" s="78"/>
      <c r="U48" s="475"/>
      <c r="V48" s="77"/>
    </row>
    <row r="49" spans="2:23">
      <c r="B49" s="28"/>
      <c r="C49" s="28"/>
      <c r="D49" s="11"/>
      <c r="E49" s="11"/>
      <c r="F49" s="28"/>
      <c r="G49" s="11"/>
      <c r="H49" s="11"/>
      <c r="I49" s="11"/>
      <c r="J49" s="11"/>
      <c r="K49" s="12"/>
      <c r="L49" s="12"/>
      <c r="M49" s="78"/>
      <c r="N49" s="475"/>
      <c r="O49" s="77"/>
      <c r="P49" s="12"/>
      <c r="Q49" s="12"/>
      <c r="R49" s="12"/>
      <c r="S49" s="12"/>
      <c r="T49" s="78"/>
      <c r="U49" s="475"/>
      <c r="V49" s="77"/>
    </row>
    <row r="50" spans="2:23">
      <c r="D50" s="11"/>
      <c r="G50" s="11" t="s">
        <v>386</v>
      </c>
      <c r="H50" s="110" t="s">
        <v>177</v>
      </c>
      <c r="I50" s="10">
        <v>-10.406542550016361</v>
      </c>
      <c r="K50" s="933" t="s">
        <v>94</v>
      </c>
      <c r="L50" s="934"/>
      <c r="M50" s="934"/>
      <c r="N50" s="934"/>
      <c r="O50" s="935"/>
      <c r="P50" s="12"/>
      <c r="Q50" s="12"/>
      <c r="R50" s="933" t="s">
        <v>72</v>
      </c>
      <c r="S50" s="934"/>
      <c r="T50" s="934"/>
      <c r="U50" s="934"/>
      <c r="V50" s="935"/>
    </row>
    <row r="51" spans="2:23">
      <c r="B51" s="286"/>
      <c r="C51" s="11"/>
      <c r="D51" s="11"/>
      <c r="E51" s="27"/>
      <c r="F51" s="28"/>
      <c r="H51" s="111" t="s">
        <v>178</v>
      </c>
      <c r="I51" s="10">
        <v>1.1327704416525397</v>
      </c>
      <c r="K51" s="594">
        <v>44</v>
      </c>
      <c r="L51" s="595" t="s">
        <v>49</v>
      </c>
      <c r="M51" s="595">
        <v>44.029619267752764</v>
      </c>
      <c r="N51" s="596" t="s">
        <v>50</v>
      </c>
      <c r="O51" s="597" t="s">
        <v>421</v>
      </c>
      <c r="P51" s="12">
        <v>0.78075256795453529</v>
      </c>
      <c r="Q51" s="12"/>
      <c r="R51" s="594">
        <v>176</v>
      </c>
      <c r="S51" s="595" t="s">
        <v>49</v>
      </c>
      <c r="T51" s="595">
        <v>38.254871897166822</v>
      </c>
      <c r="U51" s="596" t="s">
        <v>50</v>
      </c>
      <c r="V51" s="597" t="s">
        <v>61</v>
      </c>
      <c r="W51" s="12">
        <v>3.0829073746689235</v>
      </c>
    </row>
    <row r="52" spans="2:23">
      <c r="B52" s="28"/>
      <c r="C52" s="11"/>
      <c r="D52" s="11"/>
      <c r="E52" s="11"/>
      <c r="F52" s="28"/>
      <c r="H52" s="11"/>
      <c r="I52" s="11"/>
      <c r="K52" s="147"/>
      <c r="L52" s="147"/>
      <c r="M52" s="147"/>
      <c r="N52" s="591"/>
      <c r="O52" s="147"/>
      <c r="P52" s="12"/>
      <c r="Q52" s="12"/>
      <c r="R52" s="147"/>
      <c r="S52" s="147"/>
      <c r="T52" s="147"/>
      <c r="U52" s="591"/>
      <c r="V52" s="147"/>
      <c r="W52" s="12"/>
    </row>
    <row r="53" spans="2:23">
      <c r="B53" s="28"/>
      <c r="C53" s="11"/>
      <c r="D53" s="11"/>
      <c r="E53" s="11"/>
      <c r="F53" s="28"/>
      <c r="H53" s="11"/>
      <c r="I53" s="11"/>
      <c r="K53" s="933" t="s">
        <v>179</v>
      </c>
      <c r="L53" s="934"/>
      <c r="M53" s="934"/>
      <c r="N53" s="934"/>
      <c r="O53" s="935"/>
      <c r="P53" s="12"/>
      <c r="Q53" s="12"/>
      <c r="R53" s="933" t="s">
        <v>180</v>
      </c>
      <c r="S53" s="934"/>
      <c r="T53" s="934"/>
      <c r="U53" s="934"/>
      <c r="V53" s="935"/>
    </row>
    <row r="54" spans="2:23">
      <c r="B54" s="28"/>
      <c r="C54" s="11"/>
      <c r="D54" s="11"/>
      <c r="E54" s="11"/>
      <c r="F54" s="28"/>
      <c r="H54" s="11"/>
      <c r="I54" s="11"/>
      <c r="K54" s="592">
        <v>44</v>
      </c>
      <c r="L54" s="508" t="s">
        <v>49</v>
      </c>
      <c r="M54" s="509">
        <v>44.20306164358621</v>
      </c>
      <c r="N54" s="593" t="s">
        <v>50</v>
      </c>
      <c r="O54" s="225" t="s">
        <v>421</v>
      </c>
      <c r="P54" s="12">
        <v>0.78080302029654824</v>
      </c>
      <c r="Q54" s="12"/>
      <c r="R54" s="592">
        <v>176</v>
      </c>
      <c r="S54" s="508" t="s">
        <v>49</v>
      </c>
      <c r="T54" s="509">
        <v>38.273751404527161</v>
      </c>
      <c r="U54" s="593" t="s">
        <v>50</v>
      </c>
      <c r="V54" s="225" t="s">
        <v>61</v>
      </c>
      <c r="W54" s="12">
        <v>3.0829128664950001</v>
      </c>
    </row>
    <row r="55" spans="2:23">
      <c r="B55" s="28"/>
      <c r="C55" s="11"/>
      <c r="D55" s="11"/>
      <c r="E55" s="11"/>
      <c r="F55" s="28"/>
      <c r="H55" s="11"/>
      <c r="I55" s="11"/>
      <c r="K55" s="12"/>
      <c r="L55" s="12"/>
      <c r="M55" s="78"/>
      <c r="N55" s="475"/>
      <c r="O55" s="77"/>
      <c r="P55" s="12"/>
      <c r="Q55" s="12"/>
      <c r="R55" s="12"/>
      <c r="S55" s="12"/>
      <c r="T55" s="78"/>
      <c r="U55" s="475"/>
      <c r="V55" s="77"/>
      <c r="W55" s="12"/>
    </row>
    <row r="56" spans="2:23">
      <c r="D56" s="11"/>
      <c r="G56" s="11" t="s">
        <v>387</v>
      </c>
      <c r="H56" s="110" t="s">
        <v>177</v>
      </c>
      <c r="I56" s="10">
        <v>-10.411486123100845</v>
      </c>
      <c r="K56" s="933" t="s">
        <v>94</v>
      </c>
      <c r="L56" s="934"/>
      <c r="M56" s="934"/>
      <c r="N56" s="934"/>
      <c r="O56" s="935"/>
      <c r="P56" s="12"/>
      <c r="Q56" s="12"/>
      <c r="R56" s="933" t="s">
        <v>72</v>
      </c>
      <c r="S56" s="934"/>
      <c r="T56" s="934"/>
      <c r="U56" s="934"/>
      <c r="V56" s="935"/>
    </row>
    <row r="57" spans="2:23">
      <c r="B57" s="28"/>
      <c r="C57" s="11"/>
      <c r="D57" s="11"/>
      <c r="E57" s="11"/>
      <c r="F57" s="28"/>
      <c r="H57" s="111" t="s">
        <v>178</v>
      </c>
      <c r="I57" s="10">
        <v>1.1379863669491632</v>
      </c>
      <c r="K57" s="594">
        <v>44</v>
      </c>
      <c r="L57" s="595" t="s">
        <v>49</v>
      </c>
      <c r="M57" s="595">
        <v>46.129840515459222</v>
      </c>
      <c r="N57" s="596" t="s">
        <v>50</v>
      </c>
      <c r="O57" s="597" t="s">
        <v>421</v>
      </c>
      <c r="P57" s="12">
        <v>0.78136349755108236</v>
      </c>
      <c r="Q57" s="12"/>
      <c r="R57" s="594">
        <v>176</v>
      </c>
      <c r="S57" s="595" t="s">
        <v>49</v>
      </c>
      <c r="T57" s="595">
        <v>36.185277866825913</v>
      </c>
      <c r="U57" s="596" t="s">
        <v>50</v>
      </c>
      <c r="V57" s="597" t="s">
        <v>61</v>
      </c>
      <c r="W57" s="12">
        <v>3.0823053541687724</v>
      </c>
    </row>
    <row r="58" spans="2:23">
      <c r="B58" s="28"/>
      <c r="C58" s="11"/>
      <c r="D58" s="11"/>
      <c r="E58" s="11"/>
      <c r="F58" s="28"/>
      <c r="H58" s="11"/>
      <c r="I58" s="11"/>
      <c r="K58" s="147"/>
      <c r="L58" s="147"/>
      <c r="M58" s="147"/>
      <c r="N58" s="591"/>
      <c r="O58" s="147"/>
      <c r="P58" s="12"/>
      <c r="Q58" s="12"/>
      <c r="R58" s="147"/>
      <c r="S58" s="147"/>
      <c r="T58" s="147"/>
      <c r="U58" s="591"/>
      <c r="V58" s="147"/>
      <c r="W58" s="12"/>
    </row>
    <row r="59" spans="2:23">
      <c r="B59" s="28"/>
      <c r="C59" s="11"/>
      <c r="D59" s="11"/>
      <c r="E59" s="11"/>
      <c r="F59" s="28"/>
      <c r="H59" s="11"/>
      <c r="I59" s="11"/>
      <c r="K59" s="933" t="s">
        <v>179</v>
      </c>
      <c r="L59" s="934"/>
      <c r="M59" s="934"/>
      <c r="N59" s="934"/>
      <c r="O59" s="935"/>
      <c r="P59" s="12"/>
      <c r="Q59" s="12"/>
      <c r="R59" s="933" t="s">
        <v>180</v>
      </c>
      <c r="S59" s="934"/>
      <c r="T59" s="934"/>
      <c r="U59" s="934"/>
      <c r="V59" s="935"/>
    </row>
    <row r="60" spans="2:23">
      <c r="B60" s="28"/>
      <c r="C60" s="11"/>
      <c r="D60" s="11"/>
      <c r="E60" s="11"/>
      <c r="F60" s="28"/>
      <c r="H60" s="11"/>
      <c r="I60" s="11"/>
      <c r="K60" s="592">
        <v>44</v>
      </c>
      <c r="L60" s="508" t="s">
        <v>49</v>
      </c>
      <c r="M60" s="509">
        <v>46.303365284177715</v>
      </c>
      <c r="N60" s="593" t="s">
        <v>50</v>
      </c>
      <c r="O60" s="225" t="s">
        <v>421</v>
      </c>
      <c r="P60" s="12">
        <v>0.78141397386021394</v>
      </c>
      <c r="Q60" s="12"/>
      <c r="R60" s="592">
        <v>176</v>
      </c>
      <c r="S60" s="508" t="s">
        <v>49</v>
      </c>
      <c r="T60" s="509">
        <v>36.204244306275086</v>
      </c>
      <c r="U60" s="593" t="s">
        <v>50</v>
      </c>
      <c r="V60" s="225" t="s">
        <v>61</v>
      </c>
      <c r="W60" s="12">
        <v>3.0823108712823686</v>
      </c>
    </row>
    <row r="61" spans="2:23">
      <c r="B61" s="28"/>
      <c r="C61" s="11"/>
      <c r="D61" s="11"/>
      <c r="E61" s="11"/>
      <c r="F61" s="28"/>
      <c r="H61" s="11"/>
      <c r="I61" s="11"/>
      <c r="K61" s="12"/>
      <c r="L61" s="12"/>
      <c r="M61" s="78"/>
      <c r="N61" s="12"/>
      <c r="O61" s="12"/>
      <c r="P61" s="12"/>
      <c r="Q61" s="12"/>
      <c r="R61" s="12"/>
      <c r="S61" s="12"/>
      <c r="T61" s="78"/>
      <c r="U61" s="12"/>
      <c r="V61" s="12"/>
    </row>
    <row r="62" spans="2:23">
      <c r="D62" s="11"/>
      <c r="G62" s="11" t="s">
        <v>388</v>
      </c>
      <c r="H62" s="110" t="s">
        <v>177</v>
      </c>
      <c r="I62" s="10">
        <v>-2.2661554490573548</v>
      </c>
      <c r="K62" s="933" t="s">
        <v>94</v>
      </c>
      <c r="L62" s="934"/>
      <c r="M62" s="934"/>
      <c r="N62" s="934"/>
      <c r="O62" s="935"/>
      <c r="P62" s="12"/>
      <c r="Q62" s="12"/>
      <c r="R62" s="933" t="s">
        <v>72</v>
      </c>
      <c r="S62" s="934"/>
      <c r="T62" s="934"/>
      <c r="U62" s="934"/>
      <c r="V62" s="935"/>
    </row>
    <row r="63" spans="2:23">
      <c r="H63" s="111" t="s">
        <v>178</v>
      </c>
      <c r="I63" s="10">
        <v>0.11100099083583992</v>
      </c>
      <c r="J63" s="11"/>
      <c r="K63" s="594">
        <v>44</v>
      </c>
      <c r="L63" s="595" t="s">
        <v>49</v>
      </c>
      <c r="M63" s="595">
        <v>46.76164136906479</v>
      </c>
      <c r="N63" s="596" t="s">
        <v>50</v>
      </c>
      <c r="O63" s="597" t="s">
        <v>421</v>
      </c>
      <c r="P63" s="12">
        <v>0.78154728096962112</v>
      </c>
      <c r="Q63" s="12"/>
      <c r="R63" s="594">
        <v>176</v>
      </c>
      <c r="S63" s="595" t="s">
        <v>49</v>
      </c>
      <c r="T63" s="595">
        <v>37.81948282191081</v>
      </c>
      <c r="U63" s="596" t="s">
        <v>50</v>
      </c>
      <c r="V63" s="597" t="s">
        <v>61</v>
      </c>
      <c r="W63" s="12">
        <v>3.0827807251207497</v>
      </c>
    </row>
    <row r="64" spans="2:23">
      <c r="J64" s="11"/>
      <c r="K64" s="147"/>
      <c r="L64" s="147"/>
      <c r="M64" s="147"/>
      <c r="N64" s="591"/>
      <c r="O64" s="147"/>
      <c r="P64" s="12"/>
      <c r="Q64" s="12"/>
      <c r="R64" s="147"/>
      <c r="S64" s="147"/>
      <c r="T64" s="147"/>
      <c r="U64" s="591"/>
      <c r="V64" s="147"/>
      <c r="W64" s="12"/>
    </row>
    <row r="65" spans="10:23">
      <c r="J65" s="11"/>
      <c r="K65" s="933" t="s">
        <v>179</v>
      </c>
      <c r="L65" s="934"/>
      <c r="M65" s="934"/>
      <c r="N65" s="934"/>
      <c r="O65" s="935"/>
      <c r="P65" s="12"/>
      <c r="Q65" s="12"/>
      <c r="R65" s="933" t="s">
        <v>180</v>
      </c>
      <c r="S65" s="934"/>
      <c r="T65" s="934"/>
      <c r="U65" s="934"/>
      <c r="V65" s="935"/>
    </row>
    <row r="66" spans="10:23">
      <c r="J66" s="11"/>
      <c r="K66" s="592">
        <v>44</v>
      </c>
      <c r="L66" s="508" t="s">
        <v>49</v>
      </c>
      <c r="M66" s="509">
        <v>46.799410626548905</v>
      </c>
      <c r="N66" s="593" t="s">
        <v>50</v>
      </c>
      <c r="O66" s="225" t="s">
        <v>421</v>
      </c>
      <c r="P66" s="12">
        <v>0.78155826760127334</v>
      </c>
      <c r="Q66" s="12"/>
      <c r="R66" s="592">
        <v>176</v>
      </c>
      <c r="S66" s="508" t="s">
        <v>49</v>
      </c>
      <c r="T66" s="509">
        <v>37.821332838425405</v>
      </c>
      <c r="U66" s="593" t="s">
        <v>50</v>
      </c>
      <c r="V66" s="225" t="s">
        <v>61</v>
      </c>
      <c r="W66" s="12">
        <v>3.0827812632687395</v>
      </c>
    </row>
  </sheetData>
  <mergeCells count="26">
    <mergeCell ref="K5:O5"/>
    <mergeCell ref="R5:V5"/>
    <mergeCell ref="C11:D11"/>
    <mergeCell ref="R50:V50"/>
    <mergeCell ref="C12:D12"/>
    <mergeCell ref="F36:I36"/>
    <mergeCell ref="F45:I45"/>
    <mergeCell ref="C38:E38"/>
    <mergeCell ref="C37:E37"/>
    <mergeCell ref="C46:E46"/>
    <mergeCell ref="C47:E47"/>
    <mergeCell ref="K41:O41"/>
    <mergeCell ref="R41:V41"/>
    <mergeCell ref="K44:O44"/>
    <mergeCell ref="R44:V44"/>
    <mergeCell ref="K50:O50"/>
    <mergeCell ref="K62:O62"/>
    <mergeCell ref="R62:V62"/>
    <mergeCell ref="K65:O65"/>
    <mergeCell ref="R65:V65"/>
    <mergeCell ref="K53:O53"/>
    <mergeCell ref="R53:V53"/>
    <mergeCell ref="K59:O59"/>
    <mergeCell ref="R59:V59"/>
    <mergeCell ref="K56:O56"/>
    <mergeCell ref="R56:V56"/>
  </mergeCells>
  <phoneticPr fontId="5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Задание</vt:lpstr>
      <vt:lpstr>ЛР 1</vt:lpstr>
      <vt:lpstr>ЛР 2</vt:lpstr>
      <vt:lpstr>ЛР 7</vt:lpstr>
      <vt:lpstr>ЛР 8</vt:lpstr>
      <vt:lpstr>ЛР 9</vt:lpstr>
      <vt:lpstr>ЛР 10</vt:lpstr>
      <vt:lpstr>ЛР 11-12</vt:lpstr>
      <vt:lpstr>ЛР 13</vt:lpstr>
      <vt:lpstr>ЛР 14</vt:lpstr>
      <vt:lpstr>ЛР 15</vt:lpstr>
      <vt:lpstr>ЛР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2026-02-17T17:55:05Z</dcterms:modified>
</cp:coreProperties>
</file>